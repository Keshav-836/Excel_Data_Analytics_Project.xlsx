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esktop\Excel Work Project\"/>
    </mc:Choice>
  </mc:AlternateContent>
  <xr:revisionPtr revIDLastSave="0" documentId="8_{2FFD7A17-622A-4274-AF2E-27297BE29BA6}" xr6:coauthVersionLast="47" xr6:coauthVersionMax="47" xr10:uidLastSave="{00000000-0000-0000-0000-000000000000}"/>
  <bookViews>
    <workbookView xWindow="-120" yWindow="-120" windowWidth="20730" windowHeight="11160" tabRatio="738" firstSheet="5" activeTab="10" xr2:uid="{00000000-000D-0000-FFFF-FFFF00000000}"/>
  </bookViews>
  <sheets>
    <sheet name="Staff" sheetId="1" r:id="rId1"/>
    <sheet name="EMP_TABLE" sheetId="2" r:id="rId2"/>
    <sheet name="BASIC QUESTIONS" sheetId="3" r:id="rId3"/>
    <sheet name="REPORT" sheetId="4" r:id="rId4"/>
    <sheet name="LOOKUP_FUNC" sheetId="5" r:id="rId5"/>
    <sheet name="SALES_TABLE" sheetId="12" r:id="rId6"/>
    <sheet name="PIVOT_TABLES" sheetId="13" r:id="rId7"/>
    <sheet name="Dashbord_Table" sheetId="18" r:id="rId8"/>
    <sheet name="Dashboard_queries" sheetId="16" r:id="rId9"/>
    <sheet name="PIVOT_DASHBOARD" sheetId="19" r:id="rId10"/>
    <sheet name="DASHBOARD" sheetId="20" r:id="rId11"/>
  </sheets>
  <definedNames>
    <definedName name="ExternalData_1" localSheetId="1" hidden="1">EMP_TABLE!$A$1:$K$261</definedName>
    <definedName name="Slicer_Department">#N/A</definedName>
    <definedName name="Slicer_Emp_ID">#N/A</definedName>
  </definedNames>
  <calcPr calcId="191029"/>
  <pivotCaches>
    <pivotCache cacheId="0" r:id="rId12"/>
    <pivotCache cacheId="12" r:id="rId13"/>
  </pivotCaches>
  <fileRecoveryPr repairLoad="1"/>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7" i="19" l="1" a="1"/>
  <c r="K27" i="19" s="1"/>
  <c r="K3" i="18"/>
  <c r="L3" i="18"/>
  <c r="M3" i="18" a="1"/>
  <c r="M3" i="18"/>
  <c r="K4" i="18"/>
  <c r="L4" i="18"/>
  <c r="M4" i="18" a="1"/>
  <c r="M4" i="18"/>
  <c r="K5" i="18"/>
  <c r="L5" i="18"/>
  <c r="M5" i="18" a="1"/>
  <c r="M5" i="18"/>
  <c r="K6" i="18"/>
  <c r="L6" i="18"/>
  <c r="M6" i="18" a="1"/>
  <c r="M6" i="18"/>
  <c r="K7" i="18"/>
  <c r="L7" i="18"/>
  <c r="M7" i="18" a="1"/>
  <c r="M7" i="18"/>
  <c r="K8" i="18"/>
  <c r="L8" i="18"/>
  <c r="M8" i="18" a="1"/>
  <c r="M8" i="18"/>
  <c r="K9" i="18"/>
  <c r="L9" i="18"/>
  <c r="M9" i="18" a="1"/>
  <c r="M9" i="18"/>
  <c r="K10" i="18"/>
  <c r="L10" i="18"/>
  <c r="M10" i="18" a="1"/>
  <c r="M10" i="18"/>
  <c r="K11" i="18"/>
  <c r="L11" i="18"/>
  <c r="M11" i="18" a="1"/>
  <c r="M11" i="18"/>
  <c r="K12" i="18"/>
  <c r="L12" i="18"/>
  <c r="M12" i="18" a="1"/>
  <c r="M12" i="18"/>
  <c r="H13" i="18"/>
  <c r="K13" i="18"/>
  <c r="B14" i="20" l="1"/>
  <c r="B20" i="20"/>
  <c r="A1" i="20"/>
  <c r="B23" i="20"/>
  <c r="B17" i="20"/>
  <c r="B7" i="20"/>
  <c r="B26" i="20"/>
  <c r="B10" i="20"/>
  <c r="B29" i="20"/>
  <c r="J16" i="5" a="1"/>
  <c r="J16" i="5" s="1"/>
  <c r="J15" i="5" a="1"/>
  <c r="J15" i="5" s="1"/>
  <c r="B16" i="5" a="1"/>
  <c r="B16" i="5" s="1"/>
  <c r="B15" i="5" a="1"/>
  <c r="B15" i="5" s="1"/>
  <c r="A11" i="5" a="1"/>
  <c r="A11" i="5" s="1"/>
  <c r="A10" i="5"/>
  <c r="K10" i="5" s="1"/>
  <c r="H10" i="5"/>
  <c r="D10" i="5"/>
  <c r="D3" i="5"/>
  <c r="E3" i="5" s="1" a="1"/>
  <c r="E3" i="5" s="1"/>
  <c r="C3" i="5"/>
  <c r="B3" i="5"/>
  <c r="K7" i="4"/>
  <c r="K8" i="4"/>
  <c r="K9" i="4"/>
  <c r="K10" i="4"/>
  <c r="K11" i="4"/>
  <c r="K12" i="4"/>
  <c r="K13" i="4"/>
  <c r="K6" i="4"/>
  <c r="F12" i="4"/>
  <c r="F13" i="4"/>
  <c r="G12" i="4"/>
  <c r="G13" i="4"/>
  <c r="J7" i="4"/>
  <c r="J8" i="4"/>
  <c r="J9" i="4"/>
  <c r="J10" i="4"/>
  <c r="J11" i="4"/>
  <c r="J12" i="4"/>
  <c r="J13" i="4"/>
  <c r="J6" i="4"/>
  <c r="I7" i="4" a="1"/>
  <c r="I7" i="4" s="1"/>
  <c r="I8" i="4" a="1"/>
  <c r="I8" i="4"/>
  <c r="I9" i="4" a="1"/>
  <c r="I9" i="4" s="1"/>
  <c r="I10" i="4" a="1"/>
  <c r="I10" i="4"/>
  <c r="I11" i="4" a="1"/>
  <c r="I11" i="4" s="1"/>
  <c r="I12" i="4" a="1"/>
  <c r="I12" i="4"/>
  <c r="I13" i="4" a="1"/>
  <c r="I13" i="4" s="1"/>
  <c r="I6" i="4" a="1"/>
  <c r="I6" i="4" s="1"/>
  <c r="H7" i="4"/>
  <c r="H8" i="4"/>
  <c r="H9" i="4"/>
  <c r="H10" i="4"/>
  <c r="H11" i="4"/>
  <c r="H12" i="4"/>
  <c r="H13" i="4"/>
  <c r="H6" i="4"/>
  <c r="G7" i="4"/>
  <c r="G8" i="4"/>
  <c r="G9" i="4"/>
  <c r="G10" i="4"/>
  <c r="G11" i="4"/>
  <c r="F7" i="4"/>
  <c r="F8" i="4"/>
  <c r="F9" i="4"/>
  <c r="F10" i="4"/>
  <c r="F11" i="4"/>
  <c r="G6" i="4"/>
  <c r="F6" i="4"/>
  <c r="E9" i="4"/>
  <c r="D6" i="4" a="1"/>
  <c r="D6" i="4" s="1"/>
  <c r="E6" i="4" s="1"/>
  <c r="J22" i="3" a="1"/>
  <c r="J22" i="3" s="1"/>
  <c r="J19" i="3"/>
  <c r="J17" i="3"/>
  <c r="J15" i="3"/>
  <c r="H13" i="3"/>
  <c r="B4" i="3" a="1"/>
  <c r="B4" i="3" s="1"/>
  <c r="I10" i="5" l="1"/>
  <c r="C10" i="5"/>
  <c r="G10" i="5"/>
  <c r="E10" i="5"/>
  <c r="J10" i="5"/>
  <c r="B10" i="5"/>
  <c r="F10" i="5"/>
  <c r="E10" i="4"/>
  <c r="E13" i="4"/>
  <c r="E12" i="4"/>
  <c r="E8" i="4"/>
  <c r="E11" i="4"/>
  <c r="E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A5B095-BC71-4778-9885-B582DF7EB6C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<sst xmlns="http://schemas.openxmlformats.org/spreadsheetml/2006/main" count="8454" uniqueCount="1651">
  <si>
    <t>Emp ID</t>
  </si>
  <si>
    <t>Name</t>
  </si>
  <si>
    <t>Gender</t>
  </si>
  <si>
    <t>Department</t>
  </si>
  <si>
    <t>Salary</t>
  </si>
  <si>
    <t>Start Date</t>
  </si>
  <si>
    <t>FTE</t>
  </si>
  <si>
    <t>Employee type</t>
  </si>
  <si>
    <t>Work location</t>
  </si>
  <si>
    <t>Mobile Number</t>
  </si>
  <si>
    <t>XW68029</t>
  </si>
  <si>
    <t>LK95323</t>
  </si>
  <si>
    <t>LE46327</t>
  </si>
  <si>
    <t>RN56442</t>
  </si>
  <si>
    <t>QQ53474</t>
  </si>
  <si>
    <t>WL99915</t>
  </si>
  <si>
    <t>OQ02176</t>
  </si>
  <si>
    <t>GO15901</t>
  </si>
  <si>
    <t>XG85466</t>
  </si>
  <si>
    <t>KU43954</t>
  </si>
  <si>
    <t>PA66331</t>
  </si>
  <si>
    <t>VL09949</t>
  </si>
  <si>
    <t>SB06299</t>
  </si>
  <si>
    <t>XO85866</t>
  </si>
  <si>
    <t>DU89321</t>
  </si>
  <si>
    <t>JR86717</t>
  </si>
  <si>
    <t>NJ94299</t>
  </si>
  <si>
    <t>UC33862</t>
  </si>
  <si>
    <t>NT91504</t>
  </si>
  <si>
    <t>BV55499</t>
  </si>
  <si>
    <t>LR64833</t>
  </si>
  <si>
    <t>FB32796</t>
  </si>
  <si>
    <t>GM34017</t>
  </si>
  <si>
    <t>WB03411</t>
  </si>
  <si>
    <t>MT99677</t>
  </si>
  <si>
    <t>AE32607</t>
  </si>
  <si>
    <t>ZN82199</t>
  </si>
  <si>
    <t>QI20990</t>
  </si>
  <si>
    <t>ZR99436</t>
  </si>
  <si>
    <t>VC04606</t>
  </si>
  <si>
    <t>IF05899</t>
  </si>
  <si>
    <t>AF68524</t>
  </si>
  <si>
    <t>VY40784</t>
  </si>
  <si>
    <t>EM61484</t>
  </si>
  <si>
    <t>CL14522</t>
  </si>
  <si>
    <t>HH09005</t>
  </si>
  <si>
    <t>QD19386</t>
  </si>
  <si>
    <t>QK84068</t>
  </si>
  <si>
    <t>JF96988</t>
  </si>
  <si>
    <t>OB90878</t>
  </si>
  <si>
    <t>RJ91358</t>
  </si>
  <si>
    <t>XF16041</t>
  </si>
  <si>
    <t>BC42376</t>
  </si>
  <si>
    <t>HR20987</t>
  </si>
  <si>
    <t>IA57652</t>
  </si>
  <si>
    <t>YN04521</t>
  </si>
  <si>
    <t>BX26185</t>
  </si>
  <si>
    <t>DY84590</t>
  </si>
  <si>
    <t>HM89717</t>
  </si>
  <si>
    <t>HY35701</t>
  </si>
  <si>
    <t>EU08939</t>
  </si>
  <si>
    <t>SC51098</t>
  </si>
  <si>
    <t>GM61969</t>
  </si>
  <si>
    <t>KQ50247</t>
  </si>
  <si>
    <t>MS87230</t>
  </si>
  <si>
    <t>ZJ70604</t>
  </si>
  <si>
    <t>SR02965</t>
  </si>
  <si>
    <t>KL23662</t>
  </si>
  <si>
    <t>DT06793</t>
  </si>
  <si>
    <t>OH88526</t>
  </si>
  <si>
    <t>IG36896</t>
  </si>
  <si>
    <t>VP99312</t>
  </si>
  <si>
    <t>CT35780</t>
  </si>
  <si>
    <t>QV55564</t>
  </si>
  <si>
    <t>EG75701</t>
  </si>
  <si>
    <t>UE37619</t>
  </si>
  <si>
    <t>HY12190</t>
  </si>
  <si>
    <t>SB91744</t>
  </si>
  <si>
    <t>RB34311</t>
  </si>
  <si>
    <t>ZK62669</t>
  </si>
  <si>
    <t>ZL82299</t>
  </si>
  <si>
    <t>EF15424</t>
  </si>
  <si>
    <t>SP53579</t>
  </si>
  <si>
    <t>VI44505</t>
  </si>
  <si>
    <t>KF51776</t>
  </si>
  <si>
    <t>KA65009</t>
  </si>
  <si>
    <t>DU94029</t>
  </si>
  <si>
    <t>MB90500</t>
  </si>
  <si>
    <t>WG24339</t>
  </si>
  <si>
    <t>AP35250</t>
  </si>
  <si>
    <t>DM01675</t>
  </si>
  <si>
    <t>QZ34845</t>
  </si>
  <si>
    <t>TR93334</t>
  </si>
  <si>
    <t>LN43296</t>
  </si>
  <si>
    <t>GQ68910</t>
  </si>
  <si>
    <t>JI41353</t>
  </si>
  <si>
    <t>XK56170</t>
  </si>
  <si>
    <t>PN56489</t>
  </si>
  <si>
    <t>RC13763</t>
  </si>
  <si>
    <t>KO04995</t>
  </si>
  <si>
    <t>FT41383</t>
  </si>
  <si>
    <t>XD50975</t>
  </si>
  <si>
    <t>ET89987</t>
  </si>
  <si>
    <t>LD97666</t>
  </si>
  <si>
    <t>QP31564</t>
  </si>
  <si>
    <t>KM59153</t>
  </si>
  <si>
    <t>NB36515</t>
  </si>
  <si>
    <t>VZ92391</t>
  </si>
  <si>
    <t>LX74841</t>
  </si>
  <si>
    <t>FX06895</t>
  </si>
  <si>
    <t>TF29171</t>
  </si>
  <si>
    <t>ZE83371</t>
  </si>
  <si>
    <t>MW49227</t>
  </si>
  <si>
    <t>KS31570</t>
  </si>
  <si>
    <t>UX91071</t>
  </si>
  <si>
    <t>YS71389</t>
  </si>
  <si>
    <t>RE99324</t>
  </si>
  <si>
    <t>FZ86967</t>
  </si>
  <si>
    <t>IG41240</t>
  </si>
  <si>
    <t>TR80472</t>
  </si>
  <si>
    <t>AC44183</t>
  </si>
  <si>
    <t>YH87343</t>
  </si>
  <si>
    <t>HO92617</t>
  </si>
  <si>
    <t>TM70457</t>
  </si>
  <si>
    <t>BE78276</t>
  </si>
  <si>
    <t>LD58782</t>
  </si>
  <si>
    <t>GO94209</t>
  </si>
  <si>
    <t>MW04670</t>
  </si>
  <si>
    <t>EL84214</t>
  </si>
  <si>
    <t>LR11678</t>
  </si>
  <si>
    <t>RL54352</t>
  </si>
  <si>
    <t>SU48036</t>
  </si>
  <si>
    <t>XW74612</t>
  </si>
  <si>
    <t>IK48643</t>
  </si>
  <si>
    <t>JN15516</t>
  </si>
  <si>
    <t>ZN19947</t>
  </si>
  <si>
    <t>LR88431</t>
  </si>
  <si>
    <t>WI98869</t>
  </si>
  <si>
    <t>EV12561</t>
  </si>
  <si>
    <t>IW63910</t>
  </si>
  <si>
    <t>TQ68984</t>
  </si>
  <si>
    <t>PP93993</t>
  </si>
  <si>
    <t>IO91237</t>
  </si>
  <si>
    <t>LL39072</t>
  </si>
  <si>
    <t>CM58592</t>
  </si>
  <si>
    <t>EL13969</t>
  </si>
  <si>
    <t>DH34808</t>
  </si>
  <si>
    <t>YF53232</t>
  </si>
  <si>
    <t>ED63966</t>
  </si>
  <si>
    <t>YE53312</t>
  </si>
  <si>
    <t>OL60065</t>
  </si>
  <si>
    <t>ZQ04213</t>
  </si>
  <si>
    <t>MO79313</t>
  </si>
  <si>
    <t>VV89182</t>
  </si>
  <si>
    <t>NZ60696</t>
  </si>
  <si>
    <t>HP65004</t>
  </si>
  <si>
    <t>BS45083</t>
  </si>
  <si>
    <t>HS78396</t>
  </si>
  <si>
    <t>CB65750</t>
  </si>
  <si>
    <t>GA26809</t>
  </si>
  <si>
    <t>IH78556</t>
  </si>
  <si>
    <t>EV61106</t>
  </si>
  <si>
    <t>FQ17126</t>
  </si>
  <si>
    <t>BO47675</t>
  </si>
  <si>
    <t>CM60054</t>
  </si>
  <si>
    <t>QS82633</t>
  </si>
  <si>
    <t>JS92603</t>
  </si>
  <si>
    <t>AD68243</t>
  </si>
  <si>
    <t>SN72251</t>
  </si>
  <si>
    <t>CH15890</t>
  </si>
  <si>
    <t>JU93797</t>
  </si>
  <si>
    <t>MQ53661</t>
  </si>
  <si>
    <t>NM21289</t>
  </si>
  <si>
    <t>UM56797</t>
  </si>
  <si>
    <t>XN64101</t>
  </si>
  <si>
    <t>LD64984</t>
  </si>
  <si>
    <t>DQ75204</t>
  </si>
  <si>
    <t>RA33163</t>
  </si>
  <si>
    <t>ZM15489</t>
  </si>
  <si>
    <t>FB10392</t>
  </si>
  <si>
    <t>NG84997</t>
  </si>
  <si>
    <t>IG23661</t>
  </si>
  <si>
    <t>BU39507</t>
  </si>
  <si>
    <t>AZ16759</t>
  </si>
  <si>
    <t>RN71778</t>
  </si>
  <si>
    <t>KM94732</t>
  </si>
  <si>
    <t>HN87438</t>
  </si>
  <si>
    <t>MU44091</t>
  </si>
  <si>
    <t>XV42543</t>
  </si>
  <si>
    <t>KJ96505</t>
  </si>
  <si>
    <t>UH71353</t>
  </si>
  <si>
    <t>YR31767</t>
  </si>
  <si>
    <t>FF51582</t>
  </si>
  <si>
    <t>HD15208</t>
  </si>
  <si>
    <t>XA29625</t>
  </si>
  <si>
    <t>PJ15354</t>
  </si>
  <si>
    <t>CS20921</t>
  </si>
  <si>
    <t>VU63004</t>
  </si>
  <si>
    <t>KI56545</t>
  </si>
  <si>
    <t>TZ65224</t>
  </si>
  <si>
    <t>JS66458</t>
  </si>
  <si>
    <t>HZ92122</t>
  </si>
  <si>
    <t>OO86585</t>
  </si>
  <si>
    <t>EZ61043</t>
  </si>
  <si>
    <t>CI51567</t>
  </si>
  <si>
    <t>PY88766</t>
  </si>
  <si>
    <t>ZV89229</t>
  </si>
  <si>
    <t>CC89045</t>
  </si>
  <si>
    <t>ZM38207</t>
  </si>
  <si>
    <t>DG78990</t>
  </si>
  <si>
    <t>PZ08593</t>
  </si>
  <si>
    <t>IR47512</t>
  </si>
  <si>
    <t>IX76144</t>
  </si>
  <si>
    <t>XQ33273</t>
  </si>
  <si>
    <t>AQ85736</t>
  </si>
  <si>
    <t>GB50122</t>
  </si>
  <si>
    <t>VQ49733</t>
  </si>
  <si>
    <t>QA66052</t>
  </si>
  <si>
    <t>YP28866</t>
  </si>
  <si>
    <t>NP61803</t>
  </si>
  <si>
    <t>ZM43866</t>
  </si>
  <si>
    <t>OP71547</t>
  </si>
  <si>
    <t>AN11525</t>
  </si>
  <si>
    <t>AN20299</t>
  </si>
  <si>
    <t>CL35571</t>
  </si>
  <si>
    <t>BK62519</t>
  </si>
  <si>
    <t>GA54555</t>
  </si>
  <si>
    <t>SP69939</t>
  </si>
  <si>
    <t>HF65299</t>
  </si>
  <si>
    <t>CU19851</t>
  </si>
  <si>
    <t>HN19474</t>
  </si>
  <si>
    <t>JU35437</t>
  </si>
  <si>
    <t>OU71907</t>
  </si>
  <si>
    <t>LO11121</t>
  </si>
  <si>
    <t>YU86337</t>
  </si>
  <si>
    <t>HC18874</t>
  </si>
  <si>
    <t>RT41515</t>
  </si>
  <si>
    <t>EE06303</t>
  </si>
  <si>
    <t>LI21449</t>
  </si>
  <si>
    <t>IP70638</t>
  </si>
  <si>
    <t>KR24796</t>
  </si>
  <si>
    <t>SD18897</t>
  </si>
  <si>
    <t>ER91255</t>
  </si>
  <si>
    <t>LG49132</t>
  </si>
  <si>
    <t>UD31699</t>
  </si>
  <si>
    <t>MP76813</t>
  </si>
  <si>
    <t>NJ40291</t>
  </si>
  <si>
    <t>XJ53832</t>
  </si>
  <si>
    <t>ZX44550</t>
  </si>
  <si>
    <t>VU51342</t>
  </si>
  <si>
    <t>RP67322</t>
  </si>
  <si>
    <t>ZO08594</t>
  </si>
  <si>
    <t>UY64911</t>
  </si>
  <si>
    <t>ZN79747</t>
  </si>
  <si>
    <t>MB08363</t>
  </si>
  <si>
    <t>QQ25370</t>
  </si>
  <si>
    <t>WL08523</t>
  </si>
  <si>
    <t>NG96123</t>
  </si>
  <si>
    <t>RP44072</t>
  </si>
  <si>
    <t>PF16257</t>
  </si>
  <si>
    <t>SN70070</t>
  </si>
  <si>
    <t>RN26690</t>
  </si>
  <si>
    <t>VB35512</t>
  </si>
  <si>
    <t>EW91751</t>
  </si>
  <si>
    <t>AB47131</t>
  </si>
  <si>
    <t>FP52951</t>
  </si>
  <si>
    <t>UO94532</t>
  </si>
  <si>
    <t>AQ33671</t>
  </si>
  <si>
    <t>HD98082</t>
  </si>
  <si>
    <t>BD31913</t>
  </si>
  <si>
    <t>YV34190</t>
  </si>
  <si>
    <t>OJ10584</t>
  </si>
  <si>
    <t>QJ86169</t>
  </si>
  <si>
    <t>JH72464</t>
  </si>
  <si>
    <t>NO83077</t>
  </si>
  <si>
    <t>IK24631</t>
  </si>
  <si>
    <t>FO78506</t>
  </si>
  <si>
    <t>FO10188</t>
  </si>
  <si>
    <t>VU62162</t>
  </si>
  <si>
    <t>CF34365</t>
  </si>
  <si>
    <t>LV82289</t>
  </si>
  <si>
    <t>AK80862</t>
  </si>
  <si>
    <t>GH76424</t>
  </si>
  <si>
    <t>LW84380</t>
  </si>
  <si>
    <t>RO20206</t>
  </si>
  <si>
    <t>FQ07827</t>
  </si>
  <si>
    <t>Michael Davis</t>
  </si>
  <si>
    <t>David Edwards</t>
  </si>
  <si>
    <t>Laura Lawrence</t>
  </si>
  <si>
    <t>Andrew Hardin</t>
  </si>
  <si>
    <t>Monique Diaz</t>
  </si>
  <si>
    <t>Dawn Howell</t>
  </si>
  <si>
    <t>Veronica Bell</t>
  </si>
  <si>
    <t>Jennifer Whitaker</t>
  </si>
  <si>
    <t>Elizabeth Martin</t>
  </si>
  <si>
    <t>Robert Powers</t>
  </si>
  <si>
    <t>Tiffany White</t>
  </si>
  <si>
    <t>Alex Jones</t>
  </si>
  <si>
    <t>Troy Swanson</t>
  </si>
  <si>
    <t>Diane Wilson</t>
  </si>
  <si>
    <t>Tammy Castaneda</t>
  </si>
  <si>
    <t>Benjamin Johnson</t>
  </si>
  <si>
    <t>Paul Clark</t>
  </si>
  <si>
    <t>Stephanie Baxter</t>
  </si>
  <si>
    <t>Tammy Harrison</t>
  </si>
  <si>
    <t>David Moss</t>
  </si>
  <si>
    <t>Stephanie Garcia</t>
  </si>
  <si>
    <t>Megan Patton</t>
  </si>
  <si>
    <t>Sue Arnold</t>
  </si>
  <si>
    <t>Chelsea Barrett</t>
  </si>
  <si>
    <t>Stephanie Fitzgerald</t>
  </si>
  <si>
    <t>Alexis Webb</t>
  </si>
  <si>
    <t>Samuel Bautista</t>
  </si>
  <si>
    <t>David Taylor</t>
  </si>
  <si>
    <t>Crystal Torres</t>
  </si>
  <si>
    <t>William Larson</t>
  </si>
  <si>
    <t>Derek Anderson</t>
  </si>
  <si>
    <t>Michael Moreno</t>
  </si>
  <si>
    <t>Holly Lee</t>
  </si>
  <si>
    <t>Angela Yoder DDS</t>
  </si>
  <si>
    <t>Richard Chan</t>
  </si>
  <si>
    <t>Kelly Cohen</t>
  </si>
  <si>
    <t>Scott Ramos</t>
  </si>
  <si>
    <t>Suzanne Ali</t>
  </si>
  <si>
    <t>Adrian Estrada</t>
  </si>
  <si>
    <t>Cindy Robinson</t>
  </si>
  <si>
    <t>Stephen Thompson</t>
  </si>
  <si>
    <t>Christopher Porter</t>
  </si>
  <si>
    <t>Valerie Nguyen</t>
  </si>
  <si>
    <t>Aaron Bowers</t>
  </si>
  <si>
    <t>Richard Anderson</t>
  </si>
  <si>
    <t>Barbara Anderson</t>
  </si>
  <si>
    <t>Laura Williamson</t>
  </si>
  <si>
    <t>Brandi Soto</t>
  </si>
  <si>
    <t>Ronald Martin</t>
  </si>
  <si>
    <t>Brandon Miller</t>
  </si>
  <si>
    <t>Nicholas Sellers</t>
  </si>
  <si>
    <t>Brandy Galvan</t>
  </si>
  <si>
    <t>Regina Price</t>
  </si>
  <si>
    <t>Cheryl Mccarty</t>
  </si>
  <si>
    <t>Glenn White</t>
  </si>
  <si>
    <t>Mark Hancock</t>
  </si>
  <si>
    <t>Brandi Gregory</t>
  </si>
  <si>
    <t>Jennifer Cook</t>
  </si>
  <si>
    <t>Bobby Miller</t>
  </si>
  <si>
    <t>Taylor Dodson</t>
  </si>
  <si>
    <t>Paula Thomas</t>
  </si>
  <si>
    <t>Jennifer Gibson</t>
  </si>
  <si>
    <t>Alyssa Porter</t>
  </si>
  <si>
    <t>Jennifer Powell</t>
  </si>
  <si>
    <t>Catherine Whitehead</t>
  </si>
  <si>
    <t>Samuel Harrison</t>
  </si>
  <si>
    <t>Jennifer Martin</t>
  </si>
  <si>
    <t>Leslie Weiss</t>
  </si>
  <si>
    <t>Megan Rodriguez</t>
  </si>
  <si>
    <t>Margaret Vasquez</t>
  </si>
  <si>
    <t>Robert Torres</t>
  </si>
  <si>
    <t>Kristin Carpenter</t>
  </si>
  <si>
    <t>Jason Brown</t>
  </si>
  <si>
    <t>Thomas Smith</t>
  </si>
  <si>
    <t>Eric Parker</t>
  </si>
  <si>
    <t>Autumn Parker</t>
  </si>
  <si>
    <t>Kayla Wilson</t>
  </si>
  <si>
    <t>Rose Moore</t>
  </si>
  <si>
    <t>Brian Burton</t>
  </si>
  <si>
    <t>Mario Kelly</t>
  </si>
  <si>
    <t>Jacob Oconnor</t>
  </si>
  <si>
    <t>Vanessa Duncan</t>
  </si>
  <si>
    <t>Thomas Porter</t>
  </si>
  <si>
    <t>Clayton Mitchell</t>
  </si>
  <si>
    <t>William Olsen</t>
  </si>
  <si>
    <t>Karen Palmer</t>
  </si>
  <si>
    <t>Russell Wood</t>
  </si>
  <si>
    <t>Andrea Gonzalez</t>
  </si>
  <si>
    <t>Joseph Collier</t>
  </si>
  <si>
    <t>Frank Ford</t>
  </si>
  <si>
    <t>Sally Keller</t>
  </si>
  <si>
    <t>Alison Flores</t>
  </si>
  <si>
    <t>Amy Green</t>
  </si>
  <si>
    <t>William Dixon</t>
  </si>
  <si>
    <t>Melissa Conway</t>
  </si>
  <si>
    <t>Christopher Clark</t>
  </si>
  <si>
    <t>Elizabeth Branch</t>
  </si>
  <si>
    <t>Deborah Navarro</t>
  </si>
  <si>
    <t>Christopher Morton</t>
  </si>
  <si>
    <t>Eric Patterson</t>
  </si>
  <si>
    <t>Joshua Johnson</t>
  </si>
  <si>
    <t>Cassandra Flores</t>
  </si>
  <si>
    <t>Melissa Knight</t>
  </si>
  <si>
    <t>Terry Hayes</t>
  </si>
  <si>
    <t>Suzanne Hunt</t>
  </si>
  <si>
    <t>Emily Ward</t>
  </si>
  <si>
    <t>Ethan Hall</t>
  </si>
  <si>
    <t>Patrick Douglas</t>
  </si>
  <si>
    <t>Scott Douglas</t>
  </si>
  <si>
    <t>Barbara Walton</t>
  </si>
  <si>
    <t>Calvin Gray</t>
  </si>
  <si>
    <t>Michelle Davis</t>
  </si>
  <si>
    <t>Kayla Robinson</t>
  </si>
  <si>
    <t>Amber King</t>
  </si>
  <si>
    <t>Amy White</t>
  </si>
  <si>
    <t>Dr. Carl Stone</t>
  </si>
  <si>
    <t>Brent Reyes</t>
  </si>
  <si>
    <t>Lindsey Miles</t>
  </si>
  <si>
    <t>Leah Clements</t>
  </si>
  <si>
    <t>Joseph Bryant</t>
  </si>
  <si>
    <t>Jonathan Baxter</t>
  </si>
  <si>
    <t>Angela Dudley</t>
  </si>
  <si>
    <t>Nicholas Clark</t>
  </si>
  <si>
    <t>Kevin Mclaughlin</t>
  </si>
  <si>
    <t>Jim Moody</t>
  </si>
  <si>
    <t>Haley Molina</t>
  </si>
  <si>
    <t>Melissa Fischer</t>
  </si>
  <si>
    <t>Brooke Hester</t>
  </si>
  <si>
    <t>Kristen Griffin</t>
  </si>
  <si>
    <t>Joseph Hernandez</t>
  </si>
  <si>
    <t>Anita Meyer</t>
  </si>
  <si>
    <t>Laura Green</t>
  </si>
  <si>
    <t>Louis Howell</t>
  </si>
  <si>
    <t>Cynthia Weaver</t>
  </si>
  <si>
    <t>Chad Montoya</t>
  </si>
  <si>
    <t>Lucas Reed</t>
  </si>
  <si>
    <t>Shirley Copeland</t>
  </si>
  <si>
    <t>Melissa Becker</t>
  </si>
  <si>
    <t>Shannon Carter</t>
  </si>
  <si>
    <t>Heather Wade</t>
  </si>
  <si>
    <t>Christopher Gray</t>
  </si>
  <si>
    <t>Devin Martinez</t>
  </si>
  <si>
    <t>Sara Foster</t>
  </si>
  <si>
    <t>Paul Galloway</t>
  </si>
  <si>
    <t>Kathryn Goodwin</t>
  </si>
  <si>
    <t>Justin Greene</t>
  </si>
  <si>
    <t>Angelica Clark</t>
  </si>
  <si>
    <t>Mark Graham</t>
  </si>
  <si>
    <t>Christopher Dickson</t>
  </si>
  <si>
    <t>Jasmine Jones</t>
  </si>
  <si>
    <t>Sara Brooks</t>
  </si>
  <si>
    <t>Nicole Walsh</t>
  </si>
  <si>
    <t>Yesenia Barnes</t>
  </si>
  <si>
    <t>Maria Smith</t>
  </si>
  <si>
    <t>Heather Chandler</t>
  </si>
  <si>
    <t>Michael Estrada</t>
  </si>
  <si>
    <t>Sarah Wiley</t>
  </si>
  <si>
    <t>Mary Miller</t>
  </si>
  <si>
    <t>Katherine Phillips</t>
  </si>
  <si>
    <t>Johnny Smith</t>
  </si>
  <si>
    <t>Joseph Stewart</t>
  </si>
  <si>
    <t>Edward Moore</t>
  </si>
  <si>
    <t>Mr. Daniel Smith</t>
  </si>
  <si>
    <t>Dr. Samuel Anderson</t>
  </si>
  <si>
    <t>Barry Brown</t>
  </si>
  <si>
    <t>Lori Stewart</t>
  </si>
  <si>
    <t>Emily Smith</t>
  </si>
  <si>
    <t>Bill Kelly</t>
  </si>
  <si>
    <t>Brenda Lutz</t>
  </si>
  <si>
    <t>Tyler Evans</t>
  </si>
  <si>
    <t>Natalie Fisher</t>
  </si>
  <si>
    <t>Julian Green</t>
  </si>
  <si>
    <t>David Hughes</t>
  </si>
  <si>
    <t>Jonathan Hebert</t>
  </si>
  <si>
    <t>Cynthia Robinson</t>
  </si>
  <si>
    <t>Lori Griffith</t>
  </si>
  <si>
    <t>Shawn Paul</t>
  </si>
  <si>
    <t>Bryan Williams</t>
  </si>
  <si>
    <t>Edward Ramirez</t>
  </si>
  <si>
    <t>Brittany Garcia</t>
  </si>
  <si>
    <t>John Stevens</t>
  </si>
  <si>
    <t>Kathryn Lowe</t>
  </si>
  <si>
    <t>Jeremy Page</t>
  </si>
  <si>
    <t>David Patrick</t>
  </si>
  <si>
    <t>Sandra Caldwell</t>
  </si>
  <si>
    <t>Anthony Stanton</t>
  </si>
  <si>
    <t>Dana Harrington</t>
  </si>
  <si>
    <t>Frank Harris</t>
  </si>
  <si>
    <t>Nicole Griffin</t>
  </si>
  <si>
    <t>Kathleen Stevenson</t>
  </si>
  <si>
    <t>Tricia Wood</t>
  </si>
  <si>
    <t>Tim Ferguson</t>
  </si>
  <si>
    <t>Gabriela Hicks</t>
  </si>
  <si>
    <t>Lisa Martin</t>
  </si>
  <si>
    <t>David Perez</t>
  </si>
  <si>
    <t>Louis White</t>
  </si>
  <si>
    <t>Eric Mejia</t>
  </si>
  <si>
    <t>Kelly Brewer</t>
  </si>
  <si>
    <t>Linda Cole</t>
  </si>
  <si>
    <t>David Jones</t>
  </si>
  <si>
    <t>Raymond Braun</t>
  </si>
  <si>
    <t>Kevin Carlson</t>
  </si>
  <si>
    <t>Diane Hanson</t>
  </si>
  <si>
    <t>Katherine Stewart</t>
  </si>
  <si>
    <t>Roberto Washington</t>
  </si>
  <si>
    <t>Melanie Gentry</t>
  </si>
  <si>
    <t>Erik Blair</t>
  </si>
  <si>
    <t>Tyler Paul</t>
  </si>
  <si>
    <t>Joseph Davis</t>
  </si>
  <si>
    <t>Ashley Medina</t>
  </si>
  <si>
    <t>James Jones</t>
  </si>
  <si>
    <t>Cynthia Wood</t>
  </si>
  <si>
    <t>Erika Brown</t>
  </si>
  <si>
    <t>Lisa Ford</t>
  </si>
  <si>
    <t>Tyler Ashley</t>
  </si>
  <si>
    <t>Rhonda Gonzalez</t>
  </si>
  <si>
    <t>Haley Ford</t>
  </si>
  <si>
    <t>Andrew Ross</t>
  </si>
  <si>
    <t>Dale Acosta</t>
  </si>
  <si>
    <t>Teresa Banks</t>
  </si>
  <si>
    <t>Timothy Cole Jr.</t>
  </si>
  <si>
    <t>Elizabeth Johnson</t>
  </si>
  <si>
    <t>Jason Palmer</t>
  </si>
  <si>
    <t>Margaret Townsend</t>
  </si>
  <si>
    <t>Shannon Johnson</t>
  </si>
  <si>
    <t>Ian Castro</t>
  </si>
  <si>
    <t>James Parker</t>
  </si>
  <si>
    <t>Tony Wilson</t>
  </si>
  <si>
    <t>Edward Nelson</t>
  </si>
  <si>
    <t>Jasmine Hanson</t>
  </si>
  <si>
    <t>Jennifer Allen</t>
  </si>
  <si>
    <t>Corey Black</t>
  </si>
  <si>
    <t>Albert Thomas</t>
  </si>
  <si>
    <t>Kevin Herman</t>
  </si>
  <si>
    <t>Angel Franklin</t>
  </si>
  <si>
    <t>Jessica Woods</t>
  </si>
  <si>
    <t>Kara Pearson</t>
  </si>
  <si>
    <t>Ann Jenkins</t>
  </si>
  <si>
    <t>Kelly Yates</t>
  </si>
  <si>
    <t>Deborah Griffith</t>
  </si>
  <si>
    <t>Linda Barnes</t>
  </si>
  <si>
    <t>Dillon Scott</t>
  </si>
  <si>
    <t>Christine Berry</t>
  </si>
  <si>
    <t>Robert Graham</t>
  </si>
  <si>
    <t>Scott Osborne</t>
  </si>
  <si>
    <t>Stacy Rodriguez</t>
  </si>
  <si>
    <t>Monica Huerta</t>
  </si>
  <si>
    <t>Kathy Meyer</t>
  </si>
  <si>
    <t>Dustin Rojas</t>
  </si>
  <si>
    <t>Brian Fernandez</t>
  </si>
  <si>
    <t>Kim Torres</t>
  </si>
  <si>
    <t>Charles Gonzalez</t>
  </si>
  <si>
    <t>Christy Sanchez</t>
  </si>
  <si>
    <t>Michelle Smith</t>
  </si>
  <si>
    <t>Robert Phillips</t>
  </si>
  <si>
    <t>Lisa Morton</t>
  </si>
  <si>
    <t>Stephanie Booth</t>
  </si>
  <si>
    <t>Tammy Novak</t>
  </si>
  <si>
    <t>Pamela Moore</t>
  </si>
  <si>
    <t>Ronald Odom</t>
  </si>
  <si>
    <t>Terry Roberts</t>
  </si>
  <si>
    <t>Dr. Colin Bradley DDS</t>
  </si>
  <si>
    <t>Alyssa Jordan</t>
  </si>
  <si>
    <t>Rose Gilmore</t>
  </si>
  <si>
    <t>Jeremy Gaines</t>
  </si>
  <si>
    <t>Brian Jordan</t>
  </si>
  <si>
    <t>Nicholas Parsons</t>
  </si>
  <si>
    <t>Zachary Jones</t>
  </si>
  <si>
    <t>Laurie Murphy</t>
  </si>
  <si>
    <t>Troy Scott</t>
  </si>
  <si>
    <t>Adam Taylor</t>
  </si>
  <si>
    <t>Bruce Brown</t>
  </si>
  <si>
    <t>Daniel Luna</t>
  </si>
  <si>
    <t>Andre Lewis PhD</t>
  </si>
  <si>
    <t>Female</t>
  </si>
  <si>
    <t>Male</t>
  </si>
  <si>
    <t>Operations</t>
  </si>
  <si>
    <t>IT</t>
  </si>
  <si>
    <t>Marketing</t>
  </si>
  <si>
    <t>Sales</t>
  </si>
  <si>
    <t>HR</t>
  </si>
  <si>
    <t>Customer Support</t>
  </si>
  <si>
    <t>R&amp;D</t>
  </si>
  <si>
    <t>Finance</t>
  </si>
  <si>
    <t>12-Nov-18</t>
  </si>
  <si>
    <t>Mar 5, 2018</t>
  </si>
  <si>
    <t>2-Apr-18</t>
  </si>
  <si>
    <t>Oct 16, 2020</t>
  </si>
  <si>
    <t>Oct 18, 2021</t>
  </si>
  <si>
    <t>27-Jan-20</t>
  </si>
  <si>
    <t>19-Apr-21</t>
  </si>
  <si>
    <t>12-Mar-18</t>
  </si>
  <si>
    <t>25-Oct-19</t>
  </si>
  <si>
    <t>Dec 24, 2019</t>
  </si>
  <si>
    <t>10-Dec-18</t>
  </si>
  <si>
    <t>26-Aug-21</t>
  </si>
  <si>
    <t>22-Feb-21</t>
  </si>
  <si>
    <t>18-Apr-19</t>
  </si>
  <si>
    <t>27-Dec-19</t>
  </si>
  <si>
    <t>Aug 12, 2020</t>
  </si>
  <si>
    <t>14-Nov-18</t>
  </si>
  <si>
    <t>Nov 30, 2018</t>
  </si>
  <si>
    <t>27-Jul-20</t>
  </si>
  <si>
    <t>30-Sep-20</t>
  </si>
  <si>
    <t>19-Jul-19</t>
  </si>
  <si>
    <t>10-Aug-20</t>
  </si>
  <si>
    <t>9-Sep-19</t>
  </si>
  <si>
    <t>24-Nov-20</t>
  </si>
  <si>
    <t>Nov 2, 2018</t>
  </si>
  <si>
    <t>29-Apr-21</t>
  </si>
  <si>
    <t>May 11, 2020</t>
  </si>
  <si>
    <t>Jan 25, 2021</t>
  </si>
  <si>
    <t>16-Sep-19</t>
  </si>
  <si>
    <t>26-Jun-19</t>
  </si>
  <si>
    <t>27-May-19</t>
  </si>
  <si>
    <t>10-Apr-20</t>
  </si>
  <si>
    <t>8-Jan-19</t>
  </si>
  <si>
    <t>18-Feb-19</t>
  </si>
  <si>
    <t>15-Mar-21</t>
  </si>
  <si>
    <t>5-Feb-18</t>
  </si>
  <si>
    <t>10-Feb-21</t>
  </si>
  <si>
    <t>30-Apr-20</t>
  </si>
  <si>
    <t>30-Mar-21</t>
  </si>
  <si>
    <t>1-Feb-21</t>
  </si>
  <si>
    <t>4-Oct-21</t>
  </si>
  <si>
    <t>21-Oct-19</t>
  </si>
  <si>
    <t>13-Aug-18</t>
  </si>
  <si>
    <t>18-Nov-19</t>
  </si>
  <si>
    <t>Nov 25, 2019</t>
  </si>
  <si>
    <t>26-Feb-20</t>
  </si>
  <si>
    <t>4-Feb-19</t>
  </si>
  <si>
    <t>22-May-20</t>
  </si>
  <si>
    <t>13-Jan-20</t>
  </si>
  <si>
    <t>Jul 5, 2021</t>
  </si>
  <si>
    <t>Oct 1, 2018</t>
  </si>
  <si>
    <t>28-Dec-20</t>
  </si>
  <si>
    <t>28-Jan-19</t>
  </si>
  <si>
    <t>26-Jun-18</t>
  </si>
  <si>
    <t>7-Dec-20</t>
  </si>
  <si>
    <t>Jan 29, 2019</t>
  </si>
  <si>
    <t>26-Mar-19</t>
  </si>
  <si>
    <t>Sep 23, 2021</t>
  </si>
  <si>
    <t>23-Apr-18</t>
  </si>
  <si>
    <t>29-Oct-18</t>
  </si>
  <si>
    <t>31-Dec-18</t>
  </si>
  <si>
    <t>Apr 29, 2020</t>
  </si>
  <si>
    <t>19-Jul-21</t>
  </si>
  <si>
    <t>May 5, 2020</t>
  </si>
  <si>
    <t>12-Feb-21</t>
  </si>
  <si>
    <t>2-Oct-19</t>
  </si>
  <si>
    <t>3-Jan-19</t>
  </si>
  <si>
    <t>7-Jun-18</t>
  </si>
  <si>
    <t>Nov 13, 2020</t>
  </si>
  <si>
    <t>12-Oct-20</t>
  </si>
  <si>
    <t>Jun 11, 2021</t>
  </si>
  <si>
    <t>3-Sep-18</t>
  </si>
  <si>
    <t>21-Dec-20</t>
  </si>
  <si>
    <t>Jul 16, 2019</t>
  </si>
  <si>
    <t>25-Sep-19</t>
  </si>
  <si>
    <t>29-Aug-19</t>
  </si>
  <si>
    <t>18-Mar-20</t>
  </si>
  <si>
    <t>Apr 15, 2020</t>
  </si>
  <si>
    <t>3-Jul-19</t>
  </si>
  <si>
    <t>29-Jan-18</t>
  </si>
  <si>
    <t>24-Apr-20</t>
  </si>
  <si>
    <t>16-Sep-20</t>
  </si>
  <si>
    <t>8-Jul-19</t>
  </si>
  <si>
    <t>15-Apr-19</t>
  </si>
  <si>
    <t>26-Nov-18</t>
  </si>
  <si>
    <t>May 14, 2019</t>
  </si>
  <si>
    <t>1-Feb-19</t>
  </si>
  <si>
    <t>30-Aug-19</t>
  </si>
  <si>
    <t>5-Nov-18</t>
  </si>
  <si>
    <t>Oct 6, 2020</t>
  </si>
  <si>
    <t>17-Apr-19</t>
  </si>
  <si>
    <t>21-Mar-18</t>
  </si>
  <si>
    <t>1-Oct-20</t>
  </si>
  <si>
    <t>5-Feb-19</t>
  </si>
  <si>
    <t>2-Dec-20</t>
  </si>
  <si>
    <t>20-Jun-19</t>
  </si>
  <si>
    <t>13-Jul-20</t>
  </si>
  <si>
    <t>2-Feb-18</t>
  </si>
  <si>
    <t>6-Dec-18</t>
  </si>
  <si>
    <t>Dec 24, 2018</t>
  </si>
  <si>
    <t>9-Jul-20</t>
  </si>
  <si>
    <t>Jun 5, 2018</t>
  </si>
  <si>
    <t>18-Jun-21</t>
  </si>
  <si>
    <t>Jan 7, 2019</t>
  </si>
  <si>
    <t>30-Mar-20</t>
  </si>
  <si>
    <t>13-Jun-18</t>
  </si>
  <si>
    <t>23-Jul-20</t>
  </si>
  <si>
    <t>24-Feb-21</t>
  </si>
  <si>
    <t>13-Aug-21</t>
  </si>
  <si>
    <t>24-Sep-20</t>
  </si>
  <si>
    <t>Nov 2, 2020</t>
  </si>
  <si>
    <t>Apr 30, 2018</t>
  </si>
  <si>
    <t>10-Jul-18</t>
  </si>
  <si>
    <t>Permanent</t>
  </si>
  <si>
    <t>Fixed Term</t>
  </si>
  <si>
    <t>Temporary</t>
  </si>
  <si>
    <t>Dubai, UAE</t>
  </si>
  <si>
    <t>Sydney, Australia</t>
  </si>
  <si>
    <t>Tokyo, Japan</t>
  </si>
  <si>
    <t>Delhi, India</t>
  </si>
  <si>
    <t>New York, USA</t>
  </si>
  <si>
    <t>London, UK</t>
  </si>
  <si>
    <t>Berlin, Germany</t>
  </si>
  <si>
    <t>Toronto, Canada</t>
  </si>
  <si>
    <t>816.847.4201</t>
  </si>
  <si>
    <t>995.618.0161</t>
  </si>
  <si>
    <t>570.420.2367</t>
  </si>
  <si>
    <t>+1-599-129-8373</t>
  </si>
  <si>
    <t>610.453.2915x2013</t>
  </si>
  <si>
    <t>956.154.2970</t>
  </si>
  <si>
    <t>273-874-8920</t>
  </si>
  <si>
    <t>522.348.5582</t>
  </si>
  <si>
    <t>041-835-5373x088</t>
  </si>
  <si>
    <t>001-761-379-7521</t>
  </si>
  <si>
    <t>(689)259-3312x05590</t>
  </si>
  <si>
    <t>5124016835</t>
  </si>
  <si>
    <t>(598)445-9100x4931</t>
  </si>
  <si>
    <t>927.499.9416x4491</t>
  </si>
  <si>
    <t>001-337-748-3545x048</t>
  </si>
  <si>
    <t>068.201.8632x06883</t>
  </si>
  <si>
    <t>+1-523-072-2087x0237</t>
  </si>
  <si>
    <t>999.554.9734</t>
  </si>
  <si>
    <t>569-862-2594x3605</t>
  </si>
  <si>
    <t>(125)496-5407x20213</t>
  </si>
  <si>
    <t>024.625.4622</t>
  </si>
  <si>
    <t>(382)627-6669x817</t>
  </si>
  <si>
    <t>423.901.3064x8235</t>
  </si>
  <si>
    <t>472-078-6959x9182</t>
  </si>
  <si>
    <t>633.253.6521x76983</t>
  </si>
  <si>
    <t>+1-638-076-7975x24762</t>
  </si>
  <si>
    <t>+1-068-607-0062</t>
  </si>
  <si>
    <t>661-506-4188</t>
  </si>
  <si>
    <t>+1-014-251-3180</t>
  </si>
  <si>
    <t>(249)393-6520x6093</t>
  </si>
  <si>
    <t>358.628.7693</t>
  </si>
  <si>
    <t>+1-897-779-6202x662</t>
  </si>
  <si>
    <t>690.739.4644x3973</t>
  </si>
  <si>
    <t>(518)538-0250x80138</t>
  </si>
  <si>
    <t>001-045-065-1755x610</t>
  </si>
  <si>
    <t>001-223-915-9373x8259</t>
  </si>
  <si>
    <t>8604009418</t>
  </si>
  <si>
    <t>001-634-043-5907x19985</t>
  </si>
  <si>
    <t>4365766578</t>
  </si>
  <si>
    <t>603.827.5242</t>
  </si>
  <si>
    <t>042-795-8372</t>
  </si>
  <si>
    <t>970-325-3576</t>
  </si>
  <si>
    <t>+1-412-570-4356x8401</t>
  </si>
  <si>
    <t>+1-039-295-4398x2963</t>
  </si>
  <si>
    <t>7994182613</t>
  </si>
  <si>
    <t>189-587-2414x2351</t>
  </si>
  <si>
    <t>509-502-6803</t>
  </si>
  <si>
    <t>036-467-5337x189</t>
  </si>
  <si>
    <t>781-662-9076</t>
  </si>
  <si>
    <t>+1-869-002-0402x785</t>
  </si>
  <si>
    <t>(646)959-7194</t>
  </si>
  <si>
    <t>933-759-4347x3307</t>
  </si>
  <si>
    <t>120.349.9222x651</t>
  </si>
  <si>
    <t>015.446.8218x157</t>
  </si>
  <si>
    <t>059-690-0495x55137</t>
  </si>
  <si>
    <t>(338)694-9638</t>
  </si>
  <si>
    <t>001-416-554-0127x094</t>
  </si>
  <si>
    <t>152-401-7150</t>
  </si>
  <si>
    <t>2824489044</t>
  </si>
  <si>
    <t>+1-963-421-8082x100</t>
  </si>
  <si>
    <t>284.002.8736</t>
  </si>
  <si>
    <t>841-475-1087x955</t>
  </si>
  <si>
    <t>(440)410-2474x40325</t>
  </si>
  <si>
    <t>+1-576-526-5268</t>
  </si>
  <si>
    <t>001-500-776-0440x022</t>
  </si>
  <si>
    <t>+1-987-562-0425x609</t>
  </si>
  <si>
    <t>001-280-984-1334x6470</t>
  </si>
  <si>
    <t>229-827-9723x8458</t>
  </si>
  <si>
    <t>001-887-100-6458x22481</t>
  </si>
  <si>
    <t>702-916-6268</t>
  </si>
  <si>
    <t>982.117.5345x2617</t>
  </si>
  <si>
    <t>(096)992-9371</t>
  </si>
  <si>
    <t>001-972-098-5332x64883</t>
  </si>
  <si>
    <t>001-165-269-3839x5162</t>
  </si>
  <si>
    <t>707-396-8962x868</t>
  </si>
  <si>
    <t>5042251634</t>
  </si>
  <si>
    <t>7147883980</t>
  </si>
  <si>
    <t>521-183-4542x7027</t>
  </si>
  <si>
    <t>001-092-141-6113</t>
  </si>
  <si>
    <t>+1-656-620-9516x5024</t>
  </si>
  <si>
    <t>892.346.8015x134</t>
  </si>
  <si>
    <t>1737111584</t>
  </si>
  <si>
    <t>748-077-8220x4913</t>
  </si>
  <si>
    <t>883.228.9515x945</t>
  </si>
  <si>
    <t>873-175-6156x32876</t>
  </si>
  <si>
    <t>(345)758-0189</t>
  </si>
  <si>
    <t>957-790-0887x1579</t>
  </si>
  <si>
    <t>+1-367-096-0813x385</t>
  </si>
  <si>
    <t>917-099-6322</t>
  </si>
  <si>
    <t>976.257.2418</t>
  </si>
  <si>
    <t>001-250-728-0274x97550</t>
  </si>
  <si>
    <t>007.995.0552x95212</t>
  </si>
  <si>
    <t>266.893.3117x8604</t>
  </si>
  <si>
    <t>(060)638-6726</t>
  </si>
  <si>
    <t>3296144260</t>
  </si>
  <si>
    <t>1292663641</t>
  </si>
  <si>
    <t>(362)397-7028</t>
  </si>
  <si>
    <t>112-967-9606</t>
  </si>
  <si>
    <t>0981087683</t>
  </si>
  <si>
    <t>628.901.3278x5324</t>
  </si>
  <si>
    <t>824.861.9888x395</t>
  </si>
  <si>
    <t>001-025-513-6922x2004</t>
  </si>
  <si>
    <t>0316588229</t>
  </si>
  <si>
    <t>069-394-6572x7659</t>
  </si>
  <si>
    <t>(731)133-4345x14961</t>
  </si>
  <si>
    <t>512-083-9667x455</t>
  </si>
  <si>
    <t>015-139-1208x63398</t>
  </si>
  <si>
    <t>(212)362-0762</t>
  </si>
  <si>
    <t>496.474.9978x0027</t>
  </si>
  <si>
    <t>915.711.7947x249</t>
  </si>
  <si>
    <t>459-891-4605</t>
  </si>
  <si>
    <t>839.947.7997x658</t>
  </si>
  <si>
    <t>001-359-783-6801x88424</t>
  </si>
  <si>
    <t>181.704.1846</t>
  </si>
  <si>
    <t>400-123-1894x530</t>
  </si>
  <si>
    <t>+1-537-089-9368x4270</t>
  </si>
  <si>
    <t>001-844-978-9343x3644</t>
  </si>
  <si>
    <t>001-230-939-2734x9314</t>
  </si>
  <si>
    <t>001-026-561-9509x567</t>
  </si>
  <si>
    <t>825-502-3865</t>
  </si>
  <si>
    <t>354.325.3340x04784</t>
  </si>
  <si>
    <t>4730144245</t>
  </si>
  <si>
    <t>308.100.1845x58921</t>
  </si>
  <si>
    <t>+1-210-345-9421x5993</t>
  </si>
  <si>
    <t>(264)361-8900x850</t>
  </si>
  <si>
    <t>666.620.5497</t>
  </si>
  <si>
    <t>(257)702-5509x3137</t>
  </si>
  <si>
    <t>+1-361-396-0801</t>
  </si>
  <si>
    <t>(847)364-0486x282</t>
  </si>
  <si>
    <t>958.489.6069</t>
  </si>
  <si>
    <t>001-871-353-1005</t>
  </si>
  <si>
    <t>(607)892-4376x41272</t>
  </si>
  <si>
    <t>+1-012-296-9022x903</t>
  </si>
  <si>
    <t>001-900-866-8305</t>
  </si>
  <si>
    <t>001-509-942-5141</t>
  </si>
  <si>
    <t>748.867.2847x2892</t>
  </si>
  <si>
    <t>(954)026-0008x3358</t>
  </si>
  <si>
    <t>710-264-3801x1257</t>
  </si>
  <si>
    <t>441.164.6120x1353</t>
  </si>
  <si>
    <t>6970647109</t>
  </si>
  <si>
    <t>+1-989-362-6851x3475</t>
  </si>
  <si>
    <t>213-206-7407x6169</t>
  </si>
  <si>
    <t>001-857-328-5043x86380</t>
  </si>
  <si>
    <t>(211)485-8259x70614</t>
  </si>
  <si>
    <t>184-344-3517</t>
  </si>
  <si>
    <t>+1-689-048-5262x86718</t>
  </si>
  <si>
    <t>9345043374</t>
  </si>
  <si>
    <t>649.954.3707x20511</t>
  </si>
  <si>
    <t>001-790-595-8786x417</t>
  </si>
  <si>
    <t>456.434.1573</t>
  </si>
  <si>
    <t>867.045.8974</t>
  </si>
  <si>
    <t>199-214-9628</t>
  </si>
  <si>
    <t>446.560.9587x655</t>
  </si>
  <si>
    <t>+1-017-943-5062x93004</t>
  </si>
  <si>
    <t>+1-748-330-4142</t>
  </si>
  <si>
    <t>001-995-761-1366x243</t>
  </si>
  <si>
    <t>148.692.4469x369</t>
  </si>
  <si>
    <t>850.282.3167</t>
  </si>
  <si>
    <t>977.551.4606x38836</t>
  </si>
  <si>
    <t>156.577.5108</t>
  </si>
  <si>
    <t>+1-738-749-9271x186</t>
  </si>
  <si>
    <t>(633)277-1290x2447</t>
  </si>
  <si>
    <t>001-487-951-2299x9433</t>
  </si>
  <si>
    <t>481.901.2531</t>
  </si>
  <si>
    <t>001-501-549-1003</t>
  </si>
  <si>
    <t>(922)221-4331</t>
  </si>
  <si>
    <t>(254)660-2153x153</t>
  </si>
  <si>
    <t>936-320-6486x3235</t>
  </si>
  <si>
    <t>357.861.6053</t>
  </si>
  <si>
    <t>(218)249-8157</t>
  </si>
  <si>
    <t>6164949606</t>
  </si>
  <si>
    <t>(313)485-6096x969</t>
  </si>
  <si>
    <t>3532700739</t>
  </si>
  <si>
    <t>532.729.7122x3887</t>
  </si>
  <si>
    <t>001-002-960-5029x4292</t>
  </si>
  <si>
    <t>(188)635-4856x61057</t>
  </si>
  <si>
    <t>827.517.9046x385</t>
  </si>
  <si>
    <t>788.560.1691</t>
  </si>
  <si>
    <t>544.553.6553x8546</t>
  </si>
  <si>
    <t>501-215-3329x23160</t>
  </si>
  <si>
    <t>+1-697-459-2708x5774</t>
  </si>
  <si>
    <t>+1-648-353-2167</t>
  </si>
  <si>
    <t>053.353.3600x244</t>
  </si>
  <si>
    <t>699-732-8763x5723</t>
  </si>
  <si>
    <t>598.223.1981x161</t>
  </si>
  <si>
    <t>+1-105-346-5413</t>
  </si>
  <si>
    <t>692.781.7044x7091</t>
  </si>
  <si>
    <t>048.635.0645x291</t>
  </si>
  <si>
    <t>(165)531-1166x3620</t>
  </si>
  <si>
    <t>249-853-6640</t>
  </si>
  <si>
    <t>7924679815</t>
  </si>
  <si>
    <t>5858074650</t>
  </si>
  <si>
    <t>3956689554</t>
  </si>
  <si>
    <t>(734)517-4826</t>
  </si>
  <si>
    <t>(204)238-5694</t>
  </si>
  <si>
    <t>+1-372-969-6633x90019</t>
  </si>
  <si>
    <t>163.266.3268x1410</t>
  </si>
  <si>
    <t>(349)975-9784</t>
  </si>
  <si>
    <t>959.594.8782x5424</t>
  </si>
  <si>
    <t>5416189817</t>
  </si>
  <si>
    <t>211.921.8710</t>
  </si>
  <si>
    <t>+1-878-621-3861x991</t>
  </si>
  <si>
    <t>332.850.4873</t>
  </si>
  <si>
    <t>(247)495-4507x999</t>
  </si>
  <si>
    <t>+1-508-952-0421x5380</t>
  </si>
  <si>
    <t>811.213.3881x19491</t>
  </si>
  <si>
    <t>4118316856</t>
  </si>
  <si>
    <t>001-055-912-8691x6112</t>
  </si>
  <si>
    <t>001-575-850-9980</t>
  </si>
  <si>
    <t>001-588-032-5006</t>
  </si>
  <si>
    <t>1427620956</t>
  </si>
  <si>
    <t>566.158.9289x980</t>
  </si>
  <si>
    <t>228-329-9191x46398</t>
  </si>
  <si>
    <t>+1-499-475-7608x946</t>
  </si>
  <si>
    <t>(462)073-6248</t>
  </si>
  <si>
    <t>135.763.1935</t>
  </si>
  <si>
    <t>008.555.2720x850</t>
  </si>
  <si>
    <t>988-302-3492x09466</t>
  </si>
  <si>
    <t>409.758.4586x32616</t>
  </si>
  <si>
    <t>631.953.3782x83969</t>
  </si>
  <si>
    <t>977.569.6715x477</t>
  </si>
  <si>
    <t>+1-103-287-0493</t>
  </si>
  <si>
    <t>(754)237-0430</t>
  </si>
  <si>
    <t>569.020.4389</t>
  </si>
  <si>
    <t>+1-220-639-9869x07503</t>
  </si>
  <si>
    <t>001-493-531-8795x199</t>
  </si>
  <si>
    <t>001-615-748-3574x01562</t>
  </si>
  <si>
    <t>132-274-2106x25210</t>
  </si>
  <si>
    <t>810.851.3571</t>
  </si>
  <si>
    <t>924-479-7590x1839</t>
  </si>
  <si>
    <t>001-368-665-7171x660</t>
  </si>
  <si>
    <t>796-545-1341x178</t>
  </si>
  <si>
    <t>001-620-312-0406</t>
  </si>
  <si>
    <t>000-536-1792</t>
  </si>
  <si>
    <t>176-172-9606x667</t>
  </si>
  <si>
    <t>4370397113</t>
  </si>
  <si>
    <t>001-556-751-9889</t>
  </si>
  <si>
    <t>001-882-234-2092x36379</t>
  </si>
  <si>
    <t>090-892-6213x08858</t>
  </si>
  <si>
    <t>001-414-483-7997x944</t>
  </si>
  <si>
    <t>(412)193-4012</t>
  </si>
  <si>
    <t>576.442.8930x67700</t>
  </si>
  <si>
    <t>001-757-459-1517x16526</t>
  </si>
  <si>
    <t>(967)520-9061x1088</t>
  </si>
  <si>
    <t>001-169-011-5489x421</t>
  </si>
  <si>
    <t>(966)939-8426x87991</t>
  </si>
  <si>
    <t>946-853-2983x1965</t>
  </si>
  <si>
    <t>259.535.5902</t>
  </si>
  <si>
    <t>369-718-9506x99593</t>
  </si>
  <si>
    <t>169-681-4624</t>
  </si>
  <si>
    <t>001-260-785-9109x946</t>
  </si>
  <si>
    <t>001-776-860-0572</t>
  </si>
  <si>
    <t>+1-623-348-7242</t>
  </si>
  <si>
    <t>+1-014-951-4092x5326</t>
  </si>
  <si>
    <t>003-442-5669x21194</t>
  </si>
  <si>
    <t>(390)228-6237</t>
  </si>
  <si>
    <t>285-747-9641x773</t>
  </si>
  <si>
    <t>(647)816-4820</t>
  </si>
  <si>
    <t>(674)350-8783x44757</t>
  </si>
  <si>
    <t>471-026-4058x8237</t>
  </si>
  <si>
    <t>001-621-506-1616x488</t>
  </si>
  <si>
    <t>001-422-696-5618</t>
  </si>
  <si>
    <t>(374)461-2592x35686</t>
  </si>
  <si>
    <t>732-213-7816x743</t>
  </si>
  <si>
    <t>429.188.4739x4653</t>
  </si>
  <si>
    <t>001-071-039-9240</t>
  </si>
  <si>
    <t>038.116.4864</t>
  </si>
  <si>
    <t>(814)522-0173</t>
  </si>
  <si>
    <t>001-893-426-8862x1775</t>
  </si>
  <si>
    <t>333-599-9447x5068</t>
  </si>
  <si>
    <t>5189096143</t>
  </si>
  <si>
    <t>001-203-253-6171x1607</t>
  </si>
  <si>
    <t>001-648-143-2130</t>
  </si>
  <si>
    <t>+1-056-432-6883x748</t>
  </si>
  <si>
    <t>(619)461-0836x725</t>
  </si>
  <si>
    <t>+1-965-985-3158</t>
  </si>
  <si>
    <t>Fname</t>
  </si>
  <si>
    <t>Lname</t>
  </si>
  <si>
    <t>Michael</t>
  </si>
  <si>
    <t>Davis</t>
  </si>
  <si>
    <t>David</t>
  </si>
  <si>
    <t>Edwards</t>
  </si>
  <si>
    <t>9956180161</t>
  </si>
  <si>
    <t>Laura</t>
  </si>
  <si>
    <t>Lawrence</t>
  </si>
  <si>
    <t>5704202367</t>
  </si>
  <si>
    <t>Andrew</t>
  </si>
  <si>
    <t>Hardin</t>
  </si>
  <si>
    <t>Monique</t>
  </si>
  <si>
    <t>Diaz</t>
  </si>
  <si>
    <t>61045329152013</t>
  </si>
  <si>
    <t>Dawn</t>
  </si>
  <si>
    <t>Howell</t>
  </si>
  <si>
    <t>9561542970</t>
  </si>
  <si>
    <t>Veronica</t>
  </si>
  <si>
    <t>Bell</t>
  </si>
  <si>
    <t>Jennifer</t>
  </si>
  <si>
    <t>Whitaker</t>
  </si>
  <si>
    <t>5223485582</t>
  </si>
  <si>
    <t>Elizabeth</t>
  </si>
  <si>
    <t>Martin</t>
  </si>
  <si>
    <t>041-835-5373088</t>
  </si>
  <si>
    <t>Robert</t>
  </si>
  <si>
    <t>Powers</t>
  </si>
  <si>
    <t>Tiffany</t>
  </si>
  <si>
    <t>White</t>
  </si>
  <si>
    <t>(689)259-331205590</t>
  </si>
  <si>
    <t>Alex</t>
  </si>
  <si>
    <t>Jones</t>
  </si>
  <si>
    <t>Troy</t>
  </si>
  <si>
    <t>Swanson</t>
  </si>
  <si>
    <t>(598)445-91004931</t>
  </si>
  <si>
    <t>Diane</t>
  </si>
  <si>
    <t>Wilson</t>
  </si>
  <si>
    <t>92749994164491</t>
  </si>
  <si>
    <t>Tammy</t>
  </si>
  <si>
    <t>Castaneda</t>
  </si>
  <si>
    <t>001-337-748-3545048</t>
  </si>
  <si>
    <t>Benjamin</t>
  </si>
  <si>
    <t>Johnson</t>
  </si>
  <si>
    <t>068201863206883</t>
  </si>
  <si>
    <t>Paul</t>
  </si>
  <si>
    <t>Clark</t>
  </si>
  <si>
    <t>+1-523-072-20870237</t>
  </si>
  <si>
    <t>Stephanie</t>
  </si>
  <si>
    <t>Baxter</t>
  </si>
  <si>
    <t>9995549734</t>
  </si>
  <si>
    <t>Harrison</t>
  </si>
  <si>
    <t>569-862-25943605</t>
  </si>
  <si>
    <t>Moss</t>
  </si>
  <si>
    <t>(125)496-540720213</t>
  </si>
  <si>
    <t>Garcia</t>
  </si>
  <si>
    <t>0246254622</t>
  </si>
  <si>
    <t>Megan</t>
  </si>
  <si>
    <t>Patton</t>
  </si>
  <si>
    <t>(382)627-6669817</t>
  </si>
  <si>
    <t>Sue</t>
  </si>
  <si>
    <t>Arnold</t>
  </si>
  <si>
    <t>42390130648235</t>
  </si>
  <si>
    <t>Chelsea</t>
  </si>
  <si>
    <t>Barrett</t>
  </si>
  <si>
    <t>472-078-69599182</t>
  </si>
  <si>
    <t>Fitzgerald</t>
  </si>
  <si>
    <t>633253652176983</t>
  </si>
  <si>
    <t>Alexis</t>
  </si>
  <si>
    <t>Webb</t>
  </si>
  <si>
    <t>+1-638-076-797524762</t>
  </si>
  <si>
    <t>Samuel</t>
  </si>
  <si>
    <t>Bautista</t>
  </si>
  <si>
    <t>Taylor</t>
  </si>
  <si>
    <t>Crystal</t>
  </si>
  <si>
    <t>Torres</t>
  </si>
  <si>
    <t>William</t>
  </si>
  <si>
    <t>Larson</t>
  </si>
  <si>
    <t>(249)393-65206093</t>
  </si>
  <si>
    <t>Derek</t>
  </si>
  <si>
    <t>Anderson</t>
  </si>
  <si>
    <t>3586287693</t>
  </si>
  <si>
    <t>Moreno</t>
  </si>
  <si>
    <t>+1-897-779-6202662</t>
  </si>
  <si>
    <t>Holly</t>
  </si>
  <si>
    <t>Lee</t>
  </si>
  <si>
    <t>69073946443973</t>
  </si>
  <si>
    <t>Richard</t>
  </si>
  <si>
    <t>Chan</t>
  </si>
  <si>
    <t>001-045-065-1755610</t>
  </si>
  <si>
    <t>Kelly</t>
  </si>
  <si>
    <t>Cohen</t>
  </si>
  <si>
    <t>001-223-915-93738259</t>
  </si>
  <si>
    <t>Scott</t>
  </si>
  <si>
    <t>Ramos</t>
  </si>
  <si>
    <t>Suzanne</t>
  </si>
  <si>
    <t>Ali</t>
  </si>
  <si>
    <t>001-634-043-590719985</t>
  </si>
  <si>
    <t>Adrian</t>
  </si>
  <si>
    <t>Estrada</t>
  </si>
  <si>
    <t>Cindy</t>
  </si>
  <si>
    <t>Robinson</t>
  </si>
  <si>
    <t>6038275242</t>
  </si>
  <si>
    <t>Stephen</t>
  </si>
  <si>
    <t>Thompson</t>
  </si>
  <si>
    <t>Christopher</t>
  </si>
  <si>
    <t>Porter</t>
  </si>
  <si>
    <t>Valerie</t>
  </si>
  <si>
    <t>Nguyen</t>
  </si>
  <si>
    <t>+1-412-570-43568401</t>
  </si>
  <si>
    <t>Aaron</t>
  </si>
  <si>
    <t>Bowers</t>
  </si>
  <si>
    <t>+1-039-295-43982963</t>
  </si>
  <si>
    <t>Barbara</t>
  </si>
  <si>
    <t>189-587-24142351</t>
  </si>
  <si>
    <t>Williamson</t>
  </si>
  <si>
    <t>Brandi</t>
  </si>
  <si>
    <t>Soto</t>
  </si>
  <si>
    <t>036-467-5337189</t>
  </si>
  <si>
    <t>Ronald</t>
  </si>
  <si>
    <t>Brandon</t>
  </si>
  <si>
    <t>Miller</t>
  </si>
  <si>
    <t>+1-869-002-0402785</t>
  </si>
  <si>
    <t>Nicholas</t>
  </si>
  <si>
    <t>Sellers</t>
  </si>
  <si>
    <t>Brandy</t>
  </si>
  <si>
    <t>Galvan</t>
  </si>
  <si>
    <t>933-759-43473307</t>
  </si>
  <si>
    <t>Regina</t>
  </si>
  <si>
    <t>Price</t>
  </si>
  <si>
    <t>1203499222651</t>
  </si>
  <si>
    <t>Cheryl</t>
  </si>
  <si>
    <t>Mccarty</t>
  </si>
  <si>
    <t>0154468218157</t>
  </si>
  <si>
    <t>Glenn</t>
  </si>
  <si>
    <t>059-690-049555137</t>
  </si>
  <si>
    <t>Mark</t>
  </si>
  <si>
    <t>Hancock</t>
  </si>
  <si>
    <t>Gregory</t>
  </si>
  <si>
    <t>001-416-554-0127094</t>
  </si>
  <si>
    <t>Cook</t>
  </si>
  <si>
    <t>Bobby</t>
  </si>
  <si>
    <t>Dodson</t>
  </si>
  <si>
    <t>+1-963-421-8082100</t>
  </si>
  <si>
    <t>Gibson</t>
  </si>
  <si>
    <t>841-475-1087955</t>
  </si>
  <si>
    <t>Alyssa</t>
  </si>
  <si>
    <t>(440)410-247440325</t>
  </si>
  <si>
    <t>Powell</t>
  </si>
  <si>
    <t>Catherine</t>
  </si>
  <si>
    <t>Whitehead</t>
  </si>
  <si>
    <t>001-500-776-0440022</t>
  </si>
  <si>
    <t>+1-987-562-0425609</t>
  </si>
  <si>
    <t>001-280-984-13346470</t>
  </si>
  <si>
    <t>Leslie</t>
  </si>
  <si>
    <t>Weiss</t>
  </si>
  <si>
    <t>229-827-97238458</t>
  </si>
  <si>
    <t>Rodriguez</t>
  </si>
  <si>
    <t>001-887-100-645822481</t>
  </si>
  <si>
    <t>Margaret</t>
  </si>
  <si>
    <t>Vasquez</t>
  </si>
  <si>
    <t>98211753452617</t>
  </si>
  <si>
    <t>Kristin</t>
  </si>
  <si>
    <t>Carpenter</t>
  </si>
  <si>
    <t>Jason</t>
  </si>
  <si>
    <t>Brown</t>
  </si>
  <si>
    <t>001-972-098-533264883</t>
  </si>
  <si>
    <t>Eric</t>
  </si>
  <si>
    <t>Parker</t>
  </si>
  <si>
    <t>707-396-8962868</t>
  </si>
  <si>
    <t>Autumn</t>
  </si>
  <si>
    <t>Kayla</t>
  </si>
  <si>
    <t>Rose</t>
  </si>
  <si>
    <t>Moore</t>
  </si>
  <si>
    <t>521-183-45427027</t>
  </si>
  <si>
    <t>Brian</t>
  </si>
  <si>
    <t>Burton</t>
  </si>
  <si>
    <t>Mario</t>
  </si>
  <si>
    <t>+1-656-620-95165024</t>
  </si>
  <si>
    <t>Jacob</t>
  </si>
  <si>
    <t>Oconnor</t>
  </si>
  <si>
    <t>8923468015134</t>
  </si>
  <si>
    <t>Vanessa</t>
  </si>
  <si>
    <t>Duncan</t>
  </si>
  <si>
    <t>Thomas</t>
  </si>
  <si>
    <t>748-077-82204913</t>
  </si>
  <si>
    <t>Clayton</t>
  </si>
  <si>
    <t>Mitchell</t>
  </si>
  <si>
    <t>8832289515945</t>
  </si>
  <si>
    <t>Olsen</t>
  </si>
  <si>
    <t>873-175-615632876</t>
  </si>
  <si>
    <t>Karen</t>
  </si>
  <si>
    <t>Palmer</t>
  </si>
  <si>
    <t>Russell</t>
  </si>
  <si>
    <t>Wood</t>
  </si>
  <si>
    <t>957-790-08871579</t>
  </si>
  <si>
    <t>Andrea</t>
  </si>
  <si>
    <t>Gonzalez</t>
  </si>
  <si>
    <t>+1-367-096-0813385</t>
  </si>
  <si>
    <t>Joseph</t>
  </si>
  <si>
    <t>Collier</t>
  </si>
  <si>
    <t>Frank</t>
  </si>
  <si>
    <t>Ford</t>
  </si>
  <si>
    <t>9762572418</t>
  </si>
  <si>
    <t>Sally</t>
  </si>
  <si>
    <t>Keller</t>
  </si>
  <si>
    <t>001-250-728-027497550</t>
  </si>
  <si>
    <t>Alison</t>
  </si>
  <si>
    <t>Flores</t>
  </si>
  <si>
    <t>007995055295212</t>
  </si>
  <si>
    <t>Amy</t>
  </si>
  <si>
    <t>Green</t>
  </si>
  <si>
    <t>26689331178604</t>
  </si>
  <si>
    <t>Dixon</t>
  </si>
  <si>
    <t>Melissa</t>
  </si>
  <si>
    <t>Conway</t>
  </si>
  <si>
    <t>Branch</t>
  </si>
  <si>
    <t>Deborah</t>
  </si>
  <si>
    <t>Navarro</t>
  </si>
  <si>
    <t>Morton</t>
  </si>
  <si>
    <t>Patterson</t>
  </si>
  <si>
    <t>62890132785324</t>
  </si>
  <si>
    <t>Joshua</t>
  </si>
  <si>
    <t>8248619888395</t>
  </si>
  <si>
    <t>Cassandra</t>
  </si>
  <si>
    <t>001-025-513-69222004</t>
  </si>
  <si>
    <t>Knight</t>
  </si>
  <si>
    <t>Terry</t>
  </si>
  <si>
    <t>Hayes</t>
  </si>
  <si>
    <t>069-394-65727659</t>
  </si>
  <si>
    <t>Hunt</t>
  </si>
  <si>
    <t>(731)133-434514961</t>
  </si>
  <si>
    <t>Emily</t>
  </si>
  <si>
    <t>Ward</t>
  </si>
  <si>
    <t>512-083-9667455</t>
  </si>
  <si>
    <t>Ethan</t>
  </si>
  <si>
    <t>Hall</t>
  </si>
  <si>
    <t>015-139-120863398</t>
  </si>
  <si>
    <t>Patrick</t>
  </si>
  <si>
    <t>Douglas</t>
  </si>
  <si>
    <t>49647499780027</t>
  </si>
  <si>
    <t>Calvin</t>
  </si>
  <si>
    <t>Gray</t>
  </si>
  <si>
    <t>Amber</t>
  </si>
  <si>
    <t>King</t>
  </si>
  <si>
    <t>1817041846</t>
  </si>
  <si>
    <t>400-123-1894530</t>
  </si>
  <si>
    <t>Brent</t>
  </si>
  <si>
    <t>Reyes</t>
  </si>
  <si>
    <t>001-844-978-93433644</t>
  </si>
  <si>
    <t>Lindsey</t>
  </si>
  <si>
    <t>Miles</t>
  </si>
  <si>
    <t>001-230-939-27349314</t>
  </si>
  <si>
    <t>Leah</t>
  </si>
  <si>
    <t>Clements</t>
  </si>
  <si>
    <t>001-026-561-9509567</t>
  </si>
  <si>
    <t>Bryant</t>
  </si>
  <si>
    <t>Jonathan</t>
  </si>
  <si>
    <t>354325334004784</t>
  </si>
  <si>
    <t>Angela</t>
  </si>
  <si>
    <t>Dudley</t>
  </si>
  <si>
    <t>308100184558921</t>
  </si>
  <si>
    <t>Kevin</t>
  </si>
  <si>
    <t>Mclaughlin</t>
  </si>
  <si>
    <t>+1-210-345-94215993</t>
  </si>
  <si>
    <t>Jim</t>
  </si>
  <si>
    <t>Moody</t>
  </si>
  <si>
    <t>(264)361-8900850</t>
  </si>
  <si>
    <t>Haley</t>
  </si>
  <si>
    <t>Molina</t>
  </si>
  <si>
    <t>6666205497</t>
  </si>
  <si>
    <t>Fischer</t>
  </si>
  <si>
    <t>(257)702-55093137</t>
  </si>
  <si>
    <t>Brooke</t>
  </si>
  <si>
    <t>Hester</t>
  </si>
  <si>
    <t>Kristen</t>
  </si>
  <si>
    <t>Griffin</t>
  </si>
  <si>
    <t>(847)364-0486282</t>
  </si>
  <si>
    <t>Hernandez</t>
  </si>
  <si>
    <t>9584896069</t>
  </si>
  <si>
    <t>Anita</t>
  </si>
  <si>
    <t>Meyer</t>
  </si>
  <si>
    <t>(607)892-437641272</t>
  </si>
  <si>
    <t>Cynthia</t>
  </si>
  <si>
    <t>Weaver</t>
  </si>
  <si>
    <t>Chad</t>
  </si>
  <si>
    <t>Montoya</t>
  </si>
  <si>
    <t>Lucas</t>
  </si>
  <si>
    <t>Reed</t>
  </si>
  <si>
    <t>74886728472892</t>
  </si>
  <si>
    <t>Shirley</t>
  </si>
  <si>
    <t>Copeland</t>
  </si>
  <si>
    <t>(954)026-00083358</t>
  </si>
  <si>
    <t>Becker</t>
  </si>
  <si>
    <t>710-264-38011257</t>
  </si>
  <si>
    <t>Shannon</t>
  </si>
  <si>
    <t>Carter</t>
  </si>
  <si>
    <t>44116461201353</t>
  </si>
  <si>
    <t>Heather</t>
  </si>
  <si>
    <t>Wade</t>
  </si>
  <si>
    <t>Devin</t>
  </si>
  <si>
    <t>Martinez</t>
  </si>
  <si>
    <t>213-206-74076169</t>
  </si>
  <si>
    <t>Sara</t>
  </si>
  <si>
    <t>Foster</t>
  </si>
  <si>
    <t>001-857-328-504386380</t>
  </si>
  <si>
    <t>Galloway</t>
  </si>
  <si>
    <t>(211)485-825970614</t>
  </si>
  <si>
    <t>Kathryn</t>
  </si>
  <si>
    <t>Goodwin</t>
  </si>
  <si>
    <t>Justin</t>
  </si>
  <si>
    <t>Greene</t>
  </si>
  <si>
    <t>+1-689-048-526286718</t>
  </si>
  <si>
    <t>Angelica</t>
  </si>
  <si>
    <t>Graham</t>
  </si>
  <si>
    <t>649954370720511</t>
  </si>
  <si>
    <t>Dickson</t>
  </si>
  <si>
    <t>001-790-595-8786417</t>
  </si>
  <si>
    <t>Jasmine</t>
  </si>
  <si>
    <t>4564341573</t>
  </si>
  <si>
    <t>Brooks</t>
  </si>
  <si>
    <t>8670458974</t>
  </si>
  <si>
    <t>Nicole</t>
  </si>
  <si>
    <t>Walsh</t>
  </si>
  <si>
    <t>Yesenia</t>
  </si>
  <si>
    <t>Barnes</t>
  </si>
  <si>
    <t>4465609587655</t>
  </si>
  <si>
    <t>Maria</t>
  </si>
  <si>
    <t>Smith</t>
  </si>
  <si>
    <t>+1-017-943-506293004</t>
  </si>
  <si>
    <t>Chandler</t>
  </si>
  <si>
    <t>001-995-761-1366243</t>
  </si>
  <si>
    <t>Sarah</t>
  </si>
  <si>
    <t>Wiley</t>
  </si>
  <si>
    <t>1486924469369</t>
  </si>
  <si>
    <t>Katherine</t>
  </si>
  <si>
    <t>Phillips</t>
  </si>
  <si>
    <t>977551460638836</t>
  </si>
  <si>
    <t>Johnny</t>
  </si>
  <si>
    <t>1565775108</t>
  </si>
  <si>
    <t>Stewart</t>
  </si>
  <si>
    <t>+1-738-749-9271186</t>
  </si>
  <si>
    <t>Edward</t>
  </si>
  <si>
    <t>(633)277-12902447</t>
  </si>
  <si>
    <t>Mr.</t>
  </si>
  <si>
    <t>Daniel</t>
  </si>
  <si>
    <t>001-487-951-22999433</t>
  </si>
  <si>
    <t>Dr.</t>
  </si>
  <si>
    <t>4819012531</t>
  </si>
  <si>
    <t>Lori</t>
  </si>
  <si>
    <t>(254)660-2153153</t>
  </si>
  <si>
    <t>Bill</t>
  </si>
  <si>
    <t>936-320-64863235</t>
  </si>
  <si>
    <t>Brenda</t>
  </si>
  <si>
    <t>Lutz</t>
  </si>
  <si>
    <t>3578616053</t>
  </si>
  <si>
    <t>Tyler</t>
  </si>
  <si>
    <t>Evans</t>
  </si>
  <si>
    <t>Natalie</t>
  </si>
  <si>
    <t>Fisher</t>
  </si>
  <si>
    <t>Julian</t>
  </si>
  <si>
    <t>(313)485-6096969</t>
  </si>
  <si>
    <t>Hughes</t>
  </si>
  <si>
    <t>Hebert</t>
  </si>
  <si>
    <t>53272971223887</t>
  </si>
  <si>
    <t>001-002-960-50294292</t>
  </si>
  <si>
    <t>Griffith</t>
  </si>
  <si>
    <t>(188)635-485661057</t>
  </si>
  <si>
    <t>Shawn</t>
  </si>
  <si>
    <t>8275179046385</t>
  </si>
  <si>
    <t>Bryan</t>
  </si>
  <si>
    <t>Williams</t>
  </si>
  <si>
    <t>7885601691</t>
  </si>
  <si>
    <t>Ramirez</t>
  </si>
  <si>
    <t>54455365538546</t>
  </si>
  <si>
    <t>Brittany</t>
  </si>
  <si>
    <t>501-215-332923160</t>
  </si>
  <si>
    <t>John</t>
  </si>
  <si>
    <t>Stevens</t>
  </si>
  <si>
    <t>+1-697-459-27085774</t>
  </si>
  <si>
    <t>Lowe</t>
  </si>
  <si>
    <t>Jeremy</t>
  </si>
  <si>
    <t>Page</t>
  </si>
  <si>
    <t>0533533600244</t>
  </si>
  <si>
    <t>699-732-87635723</t>
  </si>
  <si>
    <t>Sandra</t>
  </si>
  <si>
    <t>Caldwell</t>
  </si>
  <si>
    <t>5982231981161</t>
  </si>
  <si>
    <t>Anthony</t>
  </si>
  <si>
    <t>Stanton</t>
  </si>
  <si>
    <t>Dana</t>
  </si>
  <si>
    <t>Harrington</t>
  </si>
  <si>
    <t>69278170447091</t>
  </si>
  <si>
    <t>Harris</t>
  </si>
  <si>
    <t>0486350645291</t>
  </si>
  <si>
    <t>(165)531-11663620</t>
  </si>
  <si>
    <t>Kathleen</t>
  </si>
  <si>
    <t>Stevenson</t>
  </si>
  <si>
    <t>Tricia</t>
  </si>
  <si>
    <t>Tim</t>
  </si>
  <si>
    <t>Ferguson</t>
  </si>
  <si>
    <t>Gabriela</t>
  </si>
  <si>
    <t>Hicks</t>
  </si>
  <si>
    <t>Lisa</t>
  </si>
  <si>
    <t>Perez</t>
  </si>
  <si>
    <t>Louis</t>
  </si>
  <si>
    <t>+1-372-969-663390019</t>
  </si>
  <si>
    <t>Mejia</t>
  </si>
  <si>
    <t>16326632681410</t>
  </si>
  <si>
    <t>Brewer</t>
  </si>
  <si>
    <t>Linda</t>
  </si>
  <si>
    <t>Cole</t>
  </si>
  <si>
    <t>95959487825424</t>
  </si>
  <si>
    <t>Raymond</t>
  </si>
  <si>
    <t>Braun</t>
  </si>
  <si>
    <t>2119218710</t>
  </si>
  <si>
    <t>Carlson</t>
  </si>
  <si>
    <t>+1-878-621-3861991</t>
  </si>
  <si>
    <t>Hanson</t>
  </si>
  <si>
    <t>3328504873</t>
  </si>
  <si>
    <t>(247)495-4507999</t>
  </si>
  <si>
    <t>Roberto</t>
  </si>
  <si>
    <t>Washington</t>
  </si>
  <si>
    <t>+1-508-952-04215380</t>
  </si>
  <si>
    <t>Melanie</t>
  </si>
  <si>
    <t>Gentry</t>
  </si>
  <si>
    <t>811213388119491</t>
  </si>
  <si>
    <t>Erik</t>
  </si>
  <si>
    <t>Blair</t>
  </si>
  <si>
    <t>001-055-912-86916112</t>
  </si>
  <si>
    <t>Ashley</t>
  </si>
  <si>
    <t>Medina</t>
  </si>
  <si>
    <t>James</t>
  </si>
  <si>
    <t>5661589289980</t>
  </si>
  <si>
    <t>Erika</t>
  </si>
  <si>
    <t>228-329-919146398</t>
  </si>
  <si>
    <t>+1-499-475-7608946</t>
  </si>
  <si>
    <t>Rhonda</t>
  </si>
  <si>
    <t>1357631935</t>
  </si>
  <si>
    <t>0085552720850</t>
  </si>
  <si>
    <t>Ross</t>
  </si>
  <si>
    <t>988-302-349209466</t>
  </si>
  <si>
    <t>Dale</t>
  </si>
  <si>
    <t>Acosta</t>
  </si>
  <si>
    <t>409758458632616</t>
  </si>
  <si>
    <t>Teresa</t>
  </si>
  <si>
    <t>Banks</t>
  </si>
  <si>
    <t>631953378283969</t>
  </si>
  <si>
    <t>Townsend</t>
  </si>
  <si>
    <t>5690204389</t>
  </si>
  <si>
    <t>+1-220-639-986907503</t>
  </si>
  <si>
    <t>Ian</t>
  </si>
  <si>
    <t>Castro</t>
  </si>
  <si>
    <t>001-493-531-8795199</t>
  </si>
  <si>
    <t>001-615-748-357401562</t>
  </si>
  <si>
    <t>Tony</t>
  </si>
  <si>
    <t>132-274-210625210</t>
  </si>
  <si>
    <t>Nelson</t>
  </si>
  <si>
    <t>8108513571</t>
  </si>
  <si>
    <t>924-479-75901839</t>
  </si>
  <si>
    <t>Allen</t>
  </si>
  <si>
    <t>001-368-665-7171660</t>
  </si>
  <si>
    <t>Corey</t>
  </si>
  <si>
    <t>Black</t>
  </si>
  <si>
    <t>796-545-1341178</t>
  </si>
  <si>
    <t>Albert</t>
  </si>
  <si>
    <t>Herman</t>
  </si>
  <si>
    <t>Angel</t>
  </si>
  <si>
    <t>Franklin</t>
  </si>
  <si>
    <t>176-172-9606667</t>
  </si>
  <si>
    <t>Jessica</t>
  </si>
  <si>
    <t>Woods</t>
  </si>
  <si>
    <t>Kara</t>
  </si>
  <si>
    <t>Pearson</t>
  </si>
  <si>
    <t>Ann</t>
  </si>
  <si>
    <t>Jenkins</t>
  </si>
  <si>
    <t>001-882-234-209236379</t>
  </si>
  <si>
    <t>Yates</t>
  </si>
  <si>
    <t>090-892-621308858</t>
  </si>
  <si>
    <t>001-414-483-7997944</t>
  </si>
  <si>
    <t>Dillon</t>
  </si>
  <si>
    <t>576442893067700</t>
  </si>
  <si>
    <t>Christine</t>
  </si>
  <si>
    <t>Berry</t>
  </si>
  <si>
    <t>001-757-459-151716526</t>
  </si>
  <si>
    <t>(967)520-90611088</t>
  </si>
  <si>
    <t>Osborne</t>
  </si>
  <si>
    <t>001-169-011-5489421</t>
  </si>
  <si>
    <t>Stacy</t>
  </si>
  <si>
    <t>(966)939-842687991</t>
  </si>
  <si>
    <t>Monica</t>
  </si>
  <si>
    <t>Huerta</t>
  </si>
  <si>
    <t>946-853-29831965</t>
  </si>
  <si>
    <t>Kathy</t>
  </si>
  <si>
    <t>2595355902</t>
  </si>
  <si>
    <t>Dustin</t>
  </si>
  <si>
    <t>Rojas</t>
  </si>
  <si>
    <t>369-718-950699593</t>
  </si>
  <si>
    <t>Kim</t>
  </si>
  <si>
    <t>001-260-785-9109946</t>
  </si>
  <si>
    <t>Charles</t>
  </si>
  <si>
    <t>Michelle</t>
  </si>
  <si>
    <t>+1-014-951-40925326</t>
  </si>
  <si>
    <t>003-442-566921194</t>
  </si>
  <si>
    <t>Booth</t>
  </si>
  <si>
    <t>285-747-9641773</t>
  </si>
  <si>
    <t>Novak</t>
  </si>
  <si>
    <t>(674)350-878344757</t>
  </si>
  <si>
    <t>Pamela</t>
  </si>
  <si>
    <t>471-026-40588237</t>
  </si>
  <si>
    <t>Odom</t>
  </si>
  <si>
    <t>001-621-506-1616488</t>
  </si>
  <si>
    <t>Roberts</t>
  </si>
  <si>
    <t>Jordan</t>
  </si>
  <si>
    <t>732-213-7816743</t>
  </si>
  <si>
    <t>42918847394653</t>
  </si>
  <si>
    <t>Gilmore</t>
  </si>
  <si>
    <t>Gaines</t>
  </si>
  <si>
    <t>0381164864</t>
  </si>
  <si>
    <t>Parsons</t>
  </si>
  <si>
    <t>001-893-426-88621775</t>
  </si>
  <si>
    <t>Zachary</t>
  </si>
  <si>
    <t>333-599-94475068</t>
  </si>
  <si>
    <t>Laurie</t>
  </si>
  <si>
    <t>Murphy</t>
  </si>
  <si>
    <t>001-203-253-61711607</t>
  </si>
  <si>
    <t>Adam</t>
  </si>
  <si>
    <t>Bruce</t>
  </si>
  <si>
    <t>+1-056-432-6883748</t>
  </si>
  <si>
    <t>Luna</t>
  </si>
  <si>
    <t>(619)461-0836725</t>
  </si>
  <si>
    <t>Andre</t>
  </si>
  <si>
    <t>Lewis</t>
  </si>
  <si>
    <t>Q1- GENERATE THE LIST OF ALL UNIQUE DEPARTMENTS WITHIN THE ORGANIZATION ?</t>
  </si>
  <si>
    <t>DEPARTMENTS</t>
  </si>
  <si>
    <t>Q2- HOW MANY EMPLOYEES ARE CURRENTLY ASSIGN IN GERMANY ?</t>
  </si>
  <si>
    <t>Q3- CALCULATE THE TOTAL SALARY PAID TO EMPLOYEES WORKING IN 'HR' DEPARTMENT?</t>
  </si>
  <si>
    <t xml:space="preserve">Q4- DETERMINE THE AVERAGE SALARY OF THE EMPLOYEE WORKING IN 'IT DEPARTMENT' ? </t>
  </si>
  <si>
    <t>Q5- FIND THE AVERAGE SALARY OF MALE EMPLOYEE WORKING IN FIXED TERM ?</t>
  </si>
  <si>
    <t>Q6- LIST OF WMPLOYEE FROM MARKETING DEPARTMENT WHO EARN MORE THAN 50000?</t>
  </si>
  <si>
    <t>EMPLOYEE</t>
  </si>
  <si>
    <t>DEPARTMENT REPORT</t>
  </si>
  <si>
    <t>DEPARTMENT</t>
  </si>
  <si>
    <t>TOTAL EMPLOYEE</t>
  </si>
  <si>
    <t>AVERAGE PAY</t>
  </si>
  <si>
    <t>%DIFF FROM COMPANY AVG.</t>
  </si>
  <si>
    <t>HIGHEST SALARY</t>
  </si>
  <si>
    <t>MEDIUM SALARY</t>
  </si>
  <si>
    <t>HIGH EARNER&gt;100K</t>
  </si>
  <si>
    <t>PAY RANKING</t>
  </si>
  <si>
    <t>EMP ID</t>
  </si>
  <si>
    <t>VLOOKUP</t>
  </si>
  <si>
    <t>XLOOKUP</t>
  </si>
  <si>
    <t>MATCHING</t>
  </si>
  <si>
    <t>INDEX</t>
  </si>
  <si>
    <t>HLOOKUP</t>
  </si>
  <si>
    <t>NAME</t>
  </si>
  <si>
    <t>WORK LOCATION</t>
  </si>
  <si>
    <t>ALL DETAILS BY XLOOKUP</t>
  </si>
  <si>
    <t>EMP_ID</t>
  </si>
  <si>
    <t>F_NAME</t>
  </si>
  <si>
    <t>L_NAME</t>
  </si>
  <si>
    <t xml:space="preserve">GENDER </t>
  </si>
  <si>
    <t>SALARY</t>
  </si>
  <si>
    <t>START_DATE</t>
  </si>
  <si>
    <t>EMPLOYEE_TYPE</t>
  </si>
  <si>
    <t>WORK_LOCATION</t>
  </si>
  <si>
    <t>MOBILE_NUMBER</t>
  </si>
  <si>
    <t>SALARY &gt;= 120</t>
  </si>
  <si>
    <t>BY XLOOKUP</t>
  </si>
  <si>
    <t>BY FILTER</t>
  </si>
  <si>
    <t>INDEX NO.</t>
  </si>
  <si>
    <t>HLOOUP IS FOR HORIZONTAL DATA AS OUR DATA IS VERTICALLY STORE SO WE USE XLOOKUP OR VLOOKUP</t>
  </si>
  <si>
    <t>ONLY RETURN THE FIRST VALUE FIND</t>
  </si>
  <si>
    <t>RETURN ALL THE ROWS WHICH WERE TRUE</t>
  </si>
  <si>
    <t>NAME OF THE PERSON JISKE SALARY MAX HO</t>
  </si>
  <si>
    <t xml:space="preserve"> </t>
  </si>
  <si>
    <t>Product</t>
  </si>
  <si>
    <t>Grand Total</t>
  </si>
  <si>
    <t>Apr</t>
  </si>
  <si>
    <t>Mohit</t>
  </si>
  <si>
    <t>North</t>
  </si>
  <si>
    <t>Monitor</t>
  </si>
  <si>
    <t>Mar</t>
  </si>
  <si>
    <t>Riya</t>
  </si>
  <si>
    <t>Laptop</t>
  </si>
  <si>
    <t>Jan</t>
  </si>
  <si>
    <t>Simran</t>
  </si>
  <si>
    <t>Raj</t>
  </si>
  <si>
    <t>West</t>
  </si>
  <si>
    <t>Jun</t>
  </si>
  <si>
    <t>East</t>
  </si>
  <si>
    <t>Feb</t>
  </si>
  <si>
    <t>Mouse</t>
  </si>
  <si>
    <t>Keyboard</t>
  </si>
  <si>
    <t>Anjali</t>
  </si>
  <si>
    <t>Headset</t>
  </si>
  <si>
    <t>South</t>
  </si>
  <si>
    <t>May</t>
  </si>
  <si>
    <t>Quantity</t>
  </si>
  <si>
    <t>Month</t>
  </si>
  <si>
    <t>Employee</t>
  </si>
  <si>
    <t>Region</t>
  </si>
  <si>
    <t>Row Labels</t>
  </si>
  <si>
    <t>Sum of Sales</t>
  </si>
  <si>
    <t>** We are planning to allocate next quarter's budget. Can you tell me how much total revenue each region generated?</t>
  </si>
  <si>
    <t>Column Labels</t>
  </si>
  <si>
    <t>** Management wants a quick summary: How many units of each product did we sell, and what was their average selling price?</t>
  </si>
  <si>
    <t>Count of Quantity</t>
  </si>
  <si>
    <t>** We need to understand monthly sales trends to adjust our marketing efforts. Can you show how our total sales varied month-by-month?</t>
  </si>
  <si>
    <t>** Which salesperson is doing well in which region? We’re considering performance-based bonuses.</t>
  </si>
  <si>
    <t>PIVOT TABLES</t>
  </si>
  <si>
    <t>We want to focus on our best-selling products. Can you list the top 3 products based on total sales?</t>
  </si>
  <si>
    <t>** The product team wants to analyze sales patterns across months for each product. Can you break down monthly sales for each product?</t>
  </si>
  <si>
    <t>Average of Price</t>
  </si>
  <si>
    <t>** We need to know which employee is contributing how much to each product category. This will help in team allocation.</t>
  </si>
  <si>
    <t>** Is pricing consistent across regions? Show the average unit price of products sold in each region.</t>
  </si>
  <si>
    <t>Dashboard Queries</t>
  </si>
  <si>
    <t>What is the average annual salary in each department?</t>
  </si>
  <si>
    <t>How does each department perform in terms of target vs actual achievement?</t>
  </si>
  <si>
    <t>One-Click Insights of Every Employee</t>
  </si>
  <si>
    <t>Which roles are achieving more % of their targets?</t>
  </si>
  <si>
    <t>Describe the experience-wise performance of staff.</t>
  </si>
  <si>
    <t>What is the salary gap between male and female employees in each role?</t>
  </si>
  <si>
    <t>Total</t>
  </si>
  <si>
    <t>Analyst</t>
  </si>
  <si>
    <t>Los Angeles</t>
  </si>
  <si>
    <t>Isabella Hall</t>
  </si>
  <si>
    <t>E110</t>
  </si>
  <si>
    <t>Executive</t>
  </si>
  <si>
    <t>Phoenix</t>
  </si>
  <si>
    <t>Masoni Walker</t>
  </si>
  <si>
    <t>E109</t>
  </si>
  <si>
    <t>Consultant</t>
  </si>
  <si>
    <t>Houston</t>
  </si>
  <si>
    <t>Sophia Lewis</t>
  </si>
  <si>
    <t>E108</t>
  </si>
  <si>
    <t>Chicago</t>
  </si>
  <si>
    <t>Lucas Hernandez</t>
  </si>
  <si>
    <t>E107</t>
  </si>
  <si>
    <t>New York</t>
  </si>
  <si>
    <t>Emily White</t>
  </si>
  <si>
    <t>E106</t>
  </si>
  <si>
    <t>Manager</t>
  </si>
  <si>
    <t>Benjamin Carter</t>
  </si>
  <si>
    <t>E105</t>
  </si>
  <si>
    <t>Ava Thompson</t>
  </si>
  <si>
    <t>E104</t>
  </si>
  <si>
    <t>William Scott</t>
  </si>
  <si>
    <t>E103</t>
  </si>
  <si>
    <t>Olivia Martin</t>
  </si>
  <si>
    <t>E102</t>
  </si>
  <si>
    <t>James Anderson</t>
  </si>
  <si>
    <t>E101</t>
  </si>
  <si>
    <t>Experience Group</t>
  </si>
  <si>
    <t>Rank</t>
  </si>
  <si>
    <t>Achievement</t>
  </si>
  <si>
    <t>Achieved</t>
  </si>
  <si>
    <t xml:space="preserve">Target </t>
  </si>
  <si>
    <t xml:space="preserve">Annual Salary </t>
  </si>
  <si>
    <t>Experience (Years)</t>
  </si>
  <si>
    <t>Role</t>
  </si>
  <si>
    <t>Location</t>
  </si>
  <si>
    <t xml:space="preserve">📊 Employee Performance Dataset </t>
  </si>
  <si>
    <t xml:space="preserve">Sum of Annual Salary </t>
  </si>
  <si>
    <t xml:space="preserve">Average of Annual Salary </t>
  </si>
  <si>
    <t>Sum of Achieved</t>
  </si>
  <si>
    <t>Target.</t>
  </si>
  <si>
    <t>Sum</t>
  </si>
  <si>
    <t>ROLE:</t>
  </si>
  <si>
    <t>DEPARTMENT:</t>
  </si>
  <si>
    <t>EXPERIENCE:</t>
  </si>
  <si>
    <t>ANNUAL SALARY:</t>
  </si>
  <si>
    <t>ACHIVEMENT:</t>
  </si>
  <si>
    <t>RANK:</t>
  </si>
  <si>
    <t>LOCATION:</t>
  </si>
  <si>
    <t xml:space="preserve">GENDER:  </t>
  </si>
  <si>
    <t>MALE VS FEMALE RATIO ?</t>
  </si>
  <si>
    <t>Count of Gender</t>
  </si>
  <si>
    <t>Mid-Level</t>
  </si>
  <si>
    <t>Sum of Achievement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</si>
</sst>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4" formatCode="yyyy\-mm\-dd\ hh:mm:ss"/>
    <numFmt numFmtId="165" formatCode="[$₹-4009]\ #,##0"/>
    <numFmt numFmtId="170" formatCode="[$$-409]#,##0"/>
    <numFmt numFmtId="171" formatCode="_ * #,##0.00_ ;_ * \-#,##0.00_ ;_ * &quot;-&quot;??_ ;_ @_ "/>
    <numFmt numFmtId="172" formatCode="[$$-409]#,##0.00"/>
    <numFmt numFmtId="182" formatCode="&quot;$&quot;#,##0.00"/>
    <numFmt numFmtId="183" formatCode="0.0%"/>
  </numFmts>
  <fonts count="17" x14ac:knownFonts="1">
    <font>
      <sz val="11"/>
      <color theme="1"/>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4"/>
      <color theme="1"/>
      <name val="Calibri"/>
      <family val="2"/>
      <scheme val="minor"/>
    </font>
    <font>
      <sz val="26"/>
      <color rgb="FFFFC000"/>
      <name val="Calibri"/>
      <family val="2"/>
      <scheme val="minor"/>
    </font>
    <font>
      <b/>
      <sz val="10"/>
      <color theme="1"/>
      <name val="Calibri"/>
      <family val="2"/>
      <scheme val="minor"/>
    </font>
    <font>
      <b/>
      <sz val="9"/>
      <color theme="1"/>
      <name val="Calibri"/>
      <family val="2"/>
      <scheme val="minor"/>
    </font>
    <font>
      <sz val="9"/>
      <color theme="1"/>
      <name val="Calibri"/>
      <family val="2"/>
      <scheme val="minor"/>
    </font>
    <font>
      <b/>
      <sz val="18"/>
      <color theme="1"/>
      <name val="Calibri"/>
      <family val="2"/>
      <scheme val="minor"/>
    </font>
    <font>
      <b/>
      <sz val="36"/>
      <color theme="1"/>
      <name val="Calibri"/>
      <family val="2"/>
      <scheme val="minor"/>
    </font>
    <font>
      <sz val="11"/>
      <color theme="1"/>
      <name val="Calibri"/>
      <family val="2"/>
      <scheme val="minor"/>
    </font>
    <font>
      <b/>
      <sz val="20"/>
      <color theme="1"/>
      <name val="Calibri"/>
      <family val="2"/>
      <scheme val="minor"/>
    </font>
    <font>
      <b/>
      <sz val="28"/>
      <color theme="1"/>
      <name val="Calibri"/>
      <family val="2"/>
      <scheme val="minor"/>
    </font>
    <font>
      <b/>
      <sz val="14"/>
      <color theme="0"/>
      <name val="Calibri"/>
      <family val="2"/>
      <scheme val="minor"/>
    </font>
    <font>
      <b/>
      <sz val="16"/>
      <color theme="0"/>
      <name val="Calibri"/>
      <family val="2"/>
      <scheme val="minor"/>
    </font>
    <font>
      <sz val="16"/>
      <color theme="1"/>
      <name val="Calibri"/>
      <family val="2"/>
      <scheme val="minor"/>
    </font>
  </fonts>
  <fills count="20">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solid">
        <fgColor rgb="FFFFC000"/>
        <bgColor indexed="64"/>
      </patternFill>
    </fill>
    <fill>
      <patternFill patternType="solid">
        <fgColor theme="1" tint="0.14999847407452621"/>
        <bgColor indexed="64"/>
      </patternFill>
    </fill>
    <fill>
      <patternFill patternType="solid">
        <fgColor theme="3" tint="0.39997558519241921"/>
        <bgColor indexed="64"/>
      </patternFill>
    </fill>
    <fill>
      <patternFill patternType="solid">
        <fgColor theme="6"/>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6" tint="-0.249977111117893"/>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1"/>
        <bgColor indexed="64"/>
      </patternFill>
    </fill>
    <fill>
      <patternFill patternType="solid">
        <fgColor theme="1" tint="4.9989318521683403E-2"/>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right/>
      <top style="thin">
        <color auto="1"/>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auto="1"/>
      </top>
      <bottom/>
      <diagonal/>
    </border>
    <border>
      <left/>
      <right style="thin">
        <color indexed="64"/>
      </right>
      <top/>
      <bottom/>
      <diagonal/>
    </border>
    <border>
      <left/>
      <right style="thin">
        <color indexed="64"/>
      </right>
      <top/>
      <bottom style="thin">
        <color indexed="64"/>
      </bottom>
      <diagonal/>
    </border>
  </borders>
  <cellStyleXfs count="3">
    <xf numFmtId="0" fontId="0" fillId="0" borderId="0"/>
    <xf numFmtId="44" fontId="11" fillId="0" borderId="0" applyFont="0" applyFill="0" applyBorder="0" applyAlignment="0" applyProtection="0"/>
    <xf numFmtId="171" fontId="11" fillId="0" borderId="0" applyFont="0" applyFill="0" applyBorder="0" applyAlignment="0" applyProtection="0"/>
  </cellStyleXfs>
  <cellXfs count="82">
    <xf numFmtId="0" fontId="0" fillId="0" borderId="0" xfId="0"/>
    <xf numFmtId="164" fontId="0" fillId="0" borderId="0" xfId="0" applyNumberFormat="1"/>
    <xf numFmtId="0" fontId="1" fillId="0" borderId="2" xfId="0" applyFont="1" applyBorder="1" applyAlignment="1">
      <alignment horizontal="center" vertical="top"/>
    </xf>
    <xf numFmtId="14" fontId="0" fillId="0" borderId="0" xfId="0" applyNumberFormat="1"/>
    <xf numFmtId="0" fontId="3" fillId="0" borderId="0" xfId="0" applyFont="1"/>
    <xf numFmtId="0" fontId="4" fillId="0" borderId="0" xfId="0" applyFont="1"/>
    <xf numFmtId="0" fontId="2" fillId="5" borderId="0" xfId="0" applyFont="1" applyFill="1"/>
    <xf numFmtId="165" fontId="2" fillId="5" borderId="0" xfId="0" applyNumberFormat="1" applyFont="1" applyFill="1"/>
    <xf numFmtId="0" fontId="1" fillId="6" borderId="1" xfId="0" applyFont="1" applyFill="1" applyBorder="1"/>
    <xf numFmtId="0" fontId="0" fillId="7" borderId="1" xfId="0" applyFill="1" applyBorder="1"/>
    <xf numFmtId="0" fontId="8" fillId="7" borderId="1" xfId="0" applyFont="1" applyFill="1" applyBorder="1"/>
    <xf numFmtId="0" fontId="0" fillId="8" borderId="1" xfId="0" applyFill="1" applyBorder="1"/>
    <xf numFmtId="0" fontId="0" fillId="10" borderId="1" xfId="0" applyFill="1" applyBorder="1"/>
    <xf numFmtId="0" fontId="0" fillId="11" borderId="1" xfId="0" applyFill="1" applyBorder="1"/>
    <xf numFmtId="0" fontId="0" fillId="12" borderId="1" xfId="0" applyFill="1" applyBorder="1"/>
    <xf numFmtId="0" fontId="0" fillId="13" borderId="1" xfId="0" applyFill="1" applyBorder="1"/>
    <xf numFmtId="0" fontId="0" fillId="12" borderId="1" xfId="0" applyFill="1" applyBorder="1" applyAlignment="1">
      <alignment horizontal="center"/>
    </xf>
    <xf numFmtId="0" fontId="7" fillId="4" borderId="0" xfId="0" applyFont="1" applyFill="1" applyAlignment="1">
      <alignment horizontal="center" vertical="center" wrapText="1"/>
    </xf>
    <xf numFmtId="0" fontId="7" fillId="4" borderId="0" xfId="0" applyFont="1" applyFill="1" applyAlignment="1">
      <alignment horizontal="center" vertical="center"/>
    </xf>
    <xf numFmtId="0" fontId="6" fillId="4" borderId="0" xfId="0" applyFont="1" applyFill="1" applyAlignment="1">
      <alignment horizontal="center" vertical="center"/>
    </xf>
    <xf numFmtId="0" fontId="0" fillId="0" borderId="0" xfId="0" applyAlignment="1">
      <alignment horizontal="left"/>
    </xf>
    <xf numFmtId="14" fontId="0" fillId="11" borderId="1" xfId="0" applyNumberFormat="1" applyFill="1" applyBorder="1"/>
    <xf numFmtId="0" fontId="0" fillId="15" borderId="1" xfId="0" applyFill="1" applyBorder="1"/>
    <xf numFmtId="14" fontId="0" fillId="15" borderId="1" xfId="0" applyNumberFormat="1" applyFill="1" applyBorder="1"/>
    <xf numFmtId="0" fontId="0" fillId="0" borderId="0" xfId="0" pivotButton="1"/>
    <xf numFmtId="10" fontId="0" fillId="0" borderId="0" xfId="0" applyNumberFormat="1"/>
    <xf numFmtId="0" fontId="0" fillId="11" borderId="0" xfId="0" applyFill="1" applyAlignment="1">
      <alignment horizontal="center" wrapText="1"/>
    </xf>
    <xf numFmtId="0" fontId="10" fillId="2" borderId="0" xfId="0" applyFont="1" applyFill="1" applyAlignment="1">
      <alignment horizontal="center"/>
    </xf>
    <xf numFmtId="0" fontId="0" fillId="3" borderId="0" xfId="0" applyFill="1"/>
    <xf numFmtId="0" fontId="0" fillId="3" borderId="0" xfId="0" applyFill="1" applyAlignment="1">
      <alignment horizontal="center"/>
    </xf>
    <xf numFmtId="0" fontId="5" fillId="5" borderId="0" xfId="0" applyFont="1" applyFill="1" applyAlignment="1">
      <alignment horizontal="center"/>
    </xf>
    <xf numFmtId="0" fontId="0" fillId="5" borderId="0" xfId="0" applyFill="1" applyAlignment="1">
      <alignment horizontal="center"/>
    </xf>
    <xf numFmtId="0" fontId="3" fillId="6" borderId="1" xfId="0" applyFont="1" applyFill="1" applyBorder="1" applyAlignment="1">
      <alignment horizontal="center" vertical="center"/>
    </xf>
    <xf numFmtId="0" fontId="0" fillId="4" borderId="1" xfId="0" applyFill="1" applyBorder="1" applyAlignment="1">
      <alignment horizontal="center"/>
    </xf>
    <xf numFmtId="0" fontId="4" fillId="9" borderId="1" xfId="0" applyFont="1" applyFill="1" applyBorder="1" applyAlignment="1">
      <alignment horizontal="center"/>
    </xf>
    <xf numFmtId="0" fontId="0" fillId="13" borderId="1" xfId="0" applyFill="1" applyBorder="1" applyAlignment="1">
      <alignment horizontal="center"/>
    </xf>
    <xf numFmtId="0" fontId="9" fillId="9" borderId="1" xfId="0" applyFont="1" applyFill="1" applyBorder="1" applyAlignment="1">
      <alignment horizontal="center"/>
    </xf>
    <xf numFmtId="0" fontId="0" fillId="9" borderId="1" xfId="0" applyFill="1" applyBorder="1" applyAlignment="1">
      <alignment horizontal="center"/>
    </xf>
    <xf numFmtId="0" fontId="0" fillId="14" borderId="3" xfId="0" applyFill="1" applyBorder="1" applyAlignment="1">
      <alignment horizontal="center"/>
    </xf>
    <xf numFmtId="0" fontId="0" fillId="14" borderId="0" xfId="0" applyFill="1" applyAlignment="1">
      <alignment horizontal="center"/>
    </xf>
    <xf numFmtId="0" fontId="0" fillId="15" borderId="3" xfId="0" applyFill="1" applyBorder="1" applyAlignment="1">
      <alignment horizontal="center"/>
    </xf>
    <xf numFmtId="0" fontId="0" fillId="15" borderId="0" xfId="0" applyFill="1" applyAlignment="1">
      <alignment horizontal="center"/>
    </xf>
    <xf numFmtId="0" fontId="13" fillId="2" borderId="0" xfId="0" applyFont="1" applyFill="1" applyAlignment="1">
      <alignment horizontal="center"/>
    </xf>
    <xf numFmtId="0" fontId="0" fillId="11" borderId="0" xfId="0" applyFill="1" applyAlignment="1">
      <alignment horizontal="center"/>
    </xf>
    <xf numFmtId="0" fontId="2" fillId="16" borderId="5" xfId="0" applyFont="1" applyFill="1" applyBorder="1" applyAlignment="1">
      <alignment horizontal="center" vertical="center" wrapText="1"/>
    </xf>
    <xf numFmtId="10" fontId="2" fillId="16" borderId="5" xfId="0" applyNumberFormat="1" applyFont="1" applyFill="1" applyBorder="1" applyAlignment="1">
      <alignment horizontal="center" vertical="center" wrapText="1"/>
    </xf>
    <xf numFmtId="170" fontId="2" fillId="16" borderId="5" xfId="0" applyNumberFormat="1" applyFont="1" applyFill="1" applyBorder="1" applyAlignment="1">
      <alignment horizontal="center" vertical="center" wrapText="1"/>
    </xf>
    <xf numFmtId="170" fontId="2" fillId="16" borderId="1" xfId="2" applyNumberFormat="1" applyFont="1" applyFill="1" applyBorder="1" applyAlignment="1">
      <alignment horizontal="center" vertical="center" wrapText="1"/>
    </xf>
    <xf numFmtId="0" fontId="2" fillId="16" borderId="6" xfId="2" applyNumberFormat="1" applyFont="1" applyFill="1" applyBorder="1" applyAlignment="1">
      <alignment horizontal="center" vertical="center" wrapText="1"/>
    </xf>
    <xf numFmtId="10" fontId="2" fillId="16" borderId="1" xfId="0" applyNumberFormat="1" applyFont="1" applyFill="1" applyBorder="1" applyAlignment="1">
      <alignment horizontal="center" vertical="center" wrapText="1"/>
    </xf>
    <xf numFmtId="170" fontId="2" fillId="16"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16" borderId="1" xfId="2" applyNumberFormat="1" applyFont="1" applyFill="1" applyBorder="1" applyAlignment="1">
      <alignment horizontal="center" vertical="center" wrapText="1"/>
    </xf>
    <xf numFmtId="170" fontId="2" fillId="16" borderId="2" xfId="0" applyNumberFormat="1" applyFont="1" applyFill="1" applyBorder="1" applyAlignment="1">
      <alignment horizontal="center" vertical="center" wrapText="1"/>
    </xf>
    <xf numFmtId="0" fontId="2" fillId="16" borderId="2" xfId="0" applyFont="1" applyFill="1" applyBorder="1" applyAlignment="1">
      <alignment horizontal="center" vertical="center" wrapText="1"/>
    </xf>
    <xf numFmtId="0" fontId="1" fillId="17" borderId="0" xfId="0" applyFont="1" applyFill="1" applyAlignment="1">
      <alignment horizontal="center" wrapText="1"/>
    </xf>
    <xf numFmtId="172" fontId="1" fillId="17" borderId="0" xfId="0" applyNumberFormat="1" applyFont="1" applyFill="1" applyAlignment="1">
      <alignment horizontal="center" wrapText="1"/>
    </xf>
    <xf numFmtId="0" fontId="1" fillId="17" borderId="0" xfId="0" applyFont="1" applyFill="1" applyAlignment="1">
      <alignment horizontal="center"/>
    </xf>
    <xf numFmtId="0" fontId="12" fillId="4" borderId="0" xfId="0" applyFont="1" applyFill="1" applyAlignment="1">
      <alignment horizontal="center" vertical="center"/>
    </xf>
    <xf numFmtId="170" fontId="0" fillId="0" borderId="0" xfId="0" applyNumberFormat="1"/>
    <xf numFmtId="0" fontId="0" fillId="18" borderId="0" xfId="0" applyFill="1"/>
    <xf numFmtId="0" fontId="0" fillId="11" borderId="0" xfId="0" applyFill="1" applyAlignment="1">
      <alignment horizontal="center"/>
    </xf>
    <xf numFmtId="0" fontId="16" fillId="4" borderId="4" xfId="0" applyFont="1" applyFill="1" applyBorder="1" applyAlignment="1">
      <alignment horizontal="center" vertical="center"/>
    </xf>
    <xf numFmtId="0" fontId="16" fillId="4" borderId="0" xfId="0" applyFont="1" applyFill="1" applyBorder="1" applyAlignment="1">
      <alignment horizontal="center" vertical="center"/>
    </xf>
    <xf numFmtId="10" fontId="16" fillId="4" borderId="0" xfId="0" applyNumberFormat="1" applyFont="1" applyFill="1" applyBorder="1" applyAlignment="1">
      <alignment horizontal="center" vertical="center"/>
    </xf>
    <xf numFmtId="0" fontId="16" fillId="4" borderId="7" xfId="0" applyFont="1" applyFill="1" applyBorder="1" applyAlignment="1">
      <alignment horizontal="center" vertical="center"/>
    </xf>
    <xf numFmtId="0" fontId="9" fillId="4" borderId="3" xfId="0" applyFont="1" applyFill="1" applyBorder="1" applyAlignment="1">
      <alignment horizontal="center" vertical="center"/>
    </xf>
    <xf numFmtId="0" fontId="9" fillId="4" borderId="8" xfId="0" applyFont="1" applyFill="1" applyBorder="1" applyAlignment="1">
      <alignment horizontal="center" vertical="center"/>
    </xf>
    <xf numFmtId="0" fontId="14" fillId="4" borderId="9" xfId="0" applyFont="1" applyFill="1" applyBorder="1" applyAlignment="1">
      <alignment horizontal="left" vertical="center"/>
    </xf>
    <xf numFmtId="0" fontId="14" fillId="4" borderId="3" xfId="0" applyFont="1" applyFill="1" applyBorder="1" applyAlignment="1">
      <alignment horizontal="left" vertical="center"/>
    </xf>
    <xf numFmtId="0" fontId="14" fillId="4" borderId="8" xfId="0" applyFont="1" applyFill="1" applyBorder="1" applyAlignment="1">
      <alignment horizontal="left" vertical="center"/>
    </xf>
    <xf numFmtId="0" fontId="15" fillId="4" borderId="3" xfId="0" applyFont="1" applyFill="1" applyBorder="1" applyAlignment="1">
      <alignment horizontal="left" vertical="center"/>
    </xf>
    <xf numFmtId="0" fontId="15" fillId="4" borderId="8" xfId="0" applyFont="1" applyFill="1" applyBorder="1" applyAlignment="1">
      <alignment horizontal="left" vertical="center"/>
    </xf>
    <xf numFmtId="10" fontId="16" fillId="4" borderId="4" xfId="0" applyNumberFormat="1" applyFont="1" applyFill="1" applyBorder="1" applyAlignment="1">
      <alignment horizontal="center" vertical="center"/>
    </xf>
    <xf numFmtId="10" fontId="16" fillId="4" borderId="7" xfId="0" applyNumberFormat="1" applyFont="1" applyFill="1" applyBorder="1" applyAlignment="1">
      <alignment horizontal="center" vertical="center"/>
    </xf>
    <xf numFmtId="0" fontId="9" fillId="4" borderId="10" xfId="0" applyFont="1" applyFill="1" applyBorder="1" applyAlignment="1">
      <alignment horizontal="center" vertical="center"/>
    </xf>
    <xf numFmtId="0" fontId="9" fillId="4" borderId="11" xfId="0" applyFont="1" applyFill="1" applyBorder="1" applyAlignment="1">
      <alignment horizontal="center" vertical="center"/>
    </xf>
    <xf numFmtId="182" fontId="16" fillId="4" borderId="4" xfId="1" applyNumberFormat="1" applyFont="1" applyFill="1" applyBorder="1" applyAlignment="1">
      <alignment horizontal="center" vertical="center"/>
    </xf>
    <xf numFmtId="182" fontId="16" fillId="4" borderId="0" xfId="1" applyNumberFormat="1" applyFont="1" applyFill="1" applyBorder="1" applyAlignment="1">
      <alignment horizontal="center" vertical="center"/>
    </xf>
    <xf numFmtId="182" fontId="16" fillId="4" borderId="7" xfId="1" applyNumberFormat="1" applyFont="1" applyFill="1" applyBorder="1" applyAlignment="1">
      <alignment horizontal="center" vertical="center"/>
    </xf>
    <xf numFmtId="0" fontId="0" fillId="19" borderId="0" xfId="0" applyFill="1" applyAlignment="1">
      <alignment horizontal="center"/>
    </xf>
    <xf numFmtId="183" fontId="0" fillId="0" borderId="0" xfId="0" applyNumberFormat="1"/>
  </cellXfs>
  <cellStyles count="3">
    <cellStyle name="Comma 2" xfId="2" xr:uid="{269D7D6D-8D50-475C-ADCB-AECD55494969}"/>
    <cellStyle name="Currency" xfId="1" builtinId="4"/>
    <cellStyle name="Normal" xfId="0" builtinId="0"/>
  </cellStyles>
  <dxfs count="56">
    <dxf>
      <numFmt numFmtId="183" formatCode="0.0%"/>
    </dxf>
    <dxf>
      <numFmt numFmtId="183" formatCode="0.0%"/>
    </dxf>
    <dxf>
      <numFmt numFmtId="183" formatCode="0.0%"/>
    </dxf>
    <dxf>
      <numFmt numFmtId="183" formatCode="0.0%"/>
    </dxf>
    <dxf>
      <numFmt numFmtId="183" formatCode="0.0%"/>
    </dxf>
    <dxf>
      <numFmt numFmtId="183" formatCode="0.0%"/>
    </dxf>
    <dxf>
      <numFmt numFmtId="183" formatCode="0.0%"/>
    </dxf>
    <dxf>
      <numFmt numFmtId="183" formatCode="0.0%"/>
    </dxf>
    <dxf>
      <numFmt numFmtId="183" formatCode="0.0%"/>
    </dxf>
    <dxf>
      <numFmt numFmtId="183" formatCode="0.0%"/>
    </dxf>
    <dxf>
      <numFmt numFmtId="183" formatCode="0.0%"/>
    </dxf>
    <dxf>
      <numFmt numFmtId="183" formatCode="0.0%"/>
    </dxf>
    <dxf>
      <font>
        <strike val="0"/>
        <outline val="0"/>
        <shadow val="0"/>
        <u val="none"/>
        <vertAlign val="baseline"/>
        <sz val="11"/>
        <color theme="0"/>
        <name val="Calibri"/>
        <family val="2"/>
        <scheme val="minor"/>
      </font>
      <numFmt numFmtId="170" formatCode="[$$-409]#,##0"/>
      <fill>
        <patternFill patternType="solid">
          <fgColor indexed="64"/>
          <bgColor theme="1" tint="0.34998626667073579"/>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0"/>
        <name val="Calibri"/>
        <family val="2"/>
        <scheme val="minor"/>
      </font>
      <numFmt numFmtId="0" formatCode="General"/>
      <fill>
        <patternFill patternType="solid">
          <fgColor indexed="64"/>
          <bgColor theme="1" tint="0.34998626667073579"/>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0"/>
        <name val="Calibri"/>
        <family val="2"/>
        <scheme val="minor"/>
      </font>
      <numFmt numFmtId="14" formatCode="0.00%"/>
      <fill>
        <patternFill patternType="solid">
          <fgColor indexed="64"/>
          <bgColor theme="1" tint="0.3499862666707357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numFmt numFmtId="14" formatCode="0.00%"/>
      <fill>
        <patternFill patternType="solid">
          <fgColor indexed="64"/>
          <bgColor theme="1" tint="0.34998626667073579"/>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0"/>
        <name val="Calibri"/>
        <family val="2"/>
        <scheme val="minor"/>
      </font>
      <numFmt numFmtId="170" formatCode="[$$-409]#,##0"/>
      <fill>
        <patternFill patternType="solid">
          <fgColor indexed="64"/>
          <bgColor theme="1" tint="0.34998626667073579"/>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0"/>
        <name val="Calibri"/>
        <family val="2"/>
        <scheme val="minor"/>
      </font>
      <numFmt numFmtId="170" formatCode="[$$-409]#,##0"/>
      <fill>
        <patternFill patternType="solid">
          <fgColor indexed="64"/>
          <bgColor theme="1" tint="0.34998626667073579"/>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0"/>
        <name val="Calibri"/>
        <family val="2"/>
        <scheme val="minor"/>
      </font>
      <numFmt numFmtId="170" formatCode="[$$-409]#,##0"/>
      <fill>
        <patternFill patternType="solid">
          <fgColor indexed="64"/>
          <bgColor theme="1" tint="0.34998626667073579"/>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numFmt numFmtId="170" formatCode="[$$-409]#,##0"/>
      <fill>
        <patternFill patternType="solid">
          <fgColor indexed="64"/>
          <bgColor theme="1" tint="0.34998626667073579"/>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0"/>
        <name val="Calibri"/>
        <family val="2"/>
        <scheme val="minor"/>
      </font>
      <fill>
        <patternFill patternType="solid">
          <fgColor indexed="64"/>
          <bgColor theme="1" tint="0.34998626667073579"/>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1"/>
        </patternFill>
      </fill>
      <alignment horizontal="center" vertical="bottom" textRotation="0" wrapText="1"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Staff Table (version 1).xlsx]PIVOT_TABLES!PivotTable1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PIVOT_TABLES!$B$6</c:f>
              <c:strCache>
                <c:ptCount val="1"/>
                <c:pt idx="0">
                  <c:v>Total</c:v>
                </c:pt>
              </c:strCache>
            </c:strRef>
          </c:tx>
          <c:spPr>
            <a:solidFill>
              <a:schemeClr val="accent1"/>
            </a:solidFill>
            <a:ln>
              <a:noFill/>
            </a:ln>
            <a:effectLst/>
          </c:spPr>
          <c:invertIfNegative val="0"/>
          <c:cat>
            <c:strRef>
              <c:f>PIVOT_TABLES!$A$7:$A$11</c:f>
              <c:strCache>
                <c:ptCount val="4"/>
                <c:pt idx="0">
                  <c:v>East</c:v>
                </c:pt>
                <c:pt idx="1">
                  <c:v>North</c:v>
                </c:pt>
                <c:pt idx="2">
                  <c:v>South</c:v>
                </c:pt>
                <c:pt idx="3">
                  <c:v>West</c:v>
                </c:pt>
              </c:strCache>
            </c:strRef>
          </c:cat>
          <c:val>
            <c:numRef>
              <c:f>PIVOT_TABLES!$B$7:$B$11</c:f>
              <c:numCache>
                <c:formatCode>General</c:formatCode>
                <c:ptCount val="4"/>
                <c:pt idx="0">
                  <c:v>21307793</c:v>
                </c:pt>
                <c:pt idx="1">
                  <c:v>20360183</c:v>
                </c:pt>
                <c:pt idx="2">
                  <c:v>23456425</c:v>
                </c:pt>
                <c:pt idx="3">
                  <c:v>19548235</c:v>
                </c:pt>
              </c:numCache>
            </c:numRef>
          </c:val>
          <c:extLst>
            <c:ext xmlns:c16="http://schemas.microsoft.com/office/drawing/2014/chart" uri="{C3380CC4-5D6E-409C-BE32-E72D297353CC}">
              <c16:uniqueId val="{00000000-8940-4061-B7BB-5A71BEE850BF}"/>
            </c:ext>
          </c:extLst>
        </c:ser>
        <c:dLbls>
          <c:showLegendKey val="0"/>
          <c:showVal val="0"/>
          <c:showCatName val="0"/>
          <c:showSerName val="0"/>
          <c:showPercent val="0"/>
          <c:showBubbleSize val="0"/>
        </c:dLbls>
        <c:gapWidth val="219"/>
        <c:overlap val="-27"/>
        <c:axId val="1995944896"/>
        <c:axId val="628142368"/>
      </c:barChart>
      <c:catAx>
        <c:axId val="199594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142368"/>
        <c:crosses val="autoZero"/>
        <c:auto val="1"/>
        <c:lblAlgn val="ctr"/>
        <c:lblOffset val="100"/>
        <c:noMultiLvlLbl val="0"/>
      </c:catAx>
      <c:valAx>
        <c:axId val="62814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94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Staff Table (version 1).xlsx]PIVOT_TABLES!PivotTable4</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PIVOT_TABLES!$B$38:$B$39</c:f>
              <c:strCache>
                <c:ptCount val="1"/>
                <c:pt idx="0">
                  <c:v>East</c:v>
                </c:pt>
              </c:strCache>
            </c:strRef>
          </c:tx>
          <c:spPr>
            <a:solidFill>
              <a:schemeClr val="accent1"/>
            </a:solidFill>
            <a:ln>
              <a:noFill/>
            </a:ln>
            <a:effectLst/>
            <a:sp3d/>
          </c:spPr>
          <c:invertIfNegative val="0"/>
          <c:cat>
            <c:strRef>
              <c:f>PIVOT_TABLES!$A$40:$A$45</c:f>
              <c:strCache>
                <c:ptCount val="5"/>
                <c:pt idx="0">
                  <c:v>Anjali</c:v>
                </c:pt>
                <c:pt idx="1">
                  <c:v>Mohit</c:v>
                </c:pt>
                <c:pt idx="2">
                  <c:v>Raj</c:v>
                </c:pt>
                <c:pt idx="3">
                  <c:v>Riya</c:v>
                </c:pt>
                <c:pt idx="4">
                  <c:v>Simran</c:v>
                </c:pt>
              </c:strCache>
            </c:strRef>
          </c:cat>
          <c:val>
            <c:numRef>
              <c:f>PIVOT_TABLES!$B$40:$B$45</c:f>
              <c:numCache>
                <c:formatCode>0.00%</c:formatCode>
                <c:ptCount val="5"/>
                <c:pt idx="0">
                  <c:v>4.3953881393275628E-2</c:v>
                </c:pt>
                <c:pt idx="1">
                  <c:v>5.425403314478127E-2</c:v>
                </c:pt>
                <c:pt idx="2">
                  <c:v>6.0718919864500259E-2</c:v>
                </c:pt>
                <c:pt idx="3">
                  <c:v>4.2477453991157189E-2</c:v>
                </c:pt>
                <c:pt idx="4">
                  <c:v>5.0244815810387665E-2</c:v>
                </c:pt>
              </c:numCache>
            </c:numRef>
          </c:val>
          <c:extLst>
            <c:ext xmlns:c16="http://schemas.microsoft.com/office/drawing/2014/chart" uri="{C3380CC4-5D6E-409C-BE32-E72D297353CC}">
              <c16:uniqueId val="{00000000-F06D-40A8-8904-E95E928D1AE0}"/>
            </c:ext>
          </c:extLst>
        </c:ser>
        <c:ser>
          <c:idx val="1"/>
          <c:order val="1"/>
          <c:tx>
            <c:strRef>
              <c:f>PIVOT_TABLES!$C$38:$C$39</c:f>
              <c:strCache>
                <c:ptCount val="1"/>
                <c:pt idx="0">
                  <c:v>North</c:v>
                </c:pt>
              </c:strCache>
            </c:strRef>
          </c:tx>
          <c:spPr>
            <a:solidFill>
              <a:schemeClr val="accent2"/>
            </a:solidFill>
            <a:ln>
              <a:noFill/>
            </a:ln>
            <a:effectLst/>
            <a:sp3d/>
          </c:spPr>
          <c:invertIfNegative val="0"/>
          <c:cat>
            <c:strRef>
              <c:f>PIVOT_TABLES!$A$40:$A$45</c:f>
              <c:strCache>
                <c:ptCount val="5"/>
                <c:pt idx="0">
                  <c:v>Anjali</c:v>
                </c:pt>
                <c:pt idx="1">
                  <c:v>Mohit</c:v>
                </c:pt>
                <c:pt idx="2">
                  <c:v>Raj</c:v>
                </c:pt>
                <c:pt idx="3">
                  <c:v>Riya</c:v>
                </c:pt>
                <c:pt idx="4">
                  <c:v>Simran</c:v>
                </c:pt>
              </c:strCache>
            </c:strRef>
          </c:cat>
          <c:val>
            <c:numRef>
              <c:f>PIVOT_TABLES!$C$40:$C$45</c:f>
              <c:numCache>
                <c:formatCode>0.00%</c:formatCode>
                <c:ptCount val="5"/>
                <c:pt idx="0">
                  <c:v>3.9703133843618614E-2</c:v>
                </c:pt>
                <c:pt idx="1">
                  <c:v>6.1109955287089443E-2</c:v>
                </c:pt>
                <c:pt idx="2">
                  <c:v>5.5765312420414076E-2</c:v>
                </c:pt>
                <c:pt idx="3">
                  <c:v>3.6180012158827796E-2</c:v>
                </c:pt>
                <c:pt idx="4">
                  <c:v>4.769923544130597E-2</c:v>
                </c:pt>
              </c:numCache>
            </c:numRef>
          </c:val>
          <c:extLst>
            <c:ext xmlns:c16="http://schemas.microsoft.com/office/drawing/2014/chart" uri="{C3380CC4-5D6E-409C-BE32-E72D297353CC}">
              <c16:uniqueId val="{00000001-F06D-40A8-8904-E95E928D1AE0}"/>
            </c:ext>
          </c:extLst>
        </c:ser>
        <c:ser>
          <c:idx val="2"/>
          <c:order val="2"/>
          <c:tx>
            <c:strRef>
              <c:f>PIVOT_TABLES!$D$38:$D$39</c:f>
              <c:strCache>
                <c:ptCount val="1"/>
                <c:pt idx="0">
                  <c:v>South</c:v>
                </c:pt>
              </c:strCache>
            </c:strRef>
          </c:tx>
          <c:spPr>
            <a:solidFill>
              <a:schemeClr val="accent3"/>
            </a:solidFill>
            <a:ln>
              <a:noFill/>
            </a:ln>
            <a:effectLst/>
            <a:sp3d/>
          </c:spPr>
          <c:invertIfNegative val="0"/>
          <c:cat>
            <c:strRef>
              <c:f>PIVOT_TABLES!$A$40:$A$45</c:f>
              <c:strCache>
                <c:ptCount val="5"/>
                <c:pt idx="0">
                  <c:v>Anjali</c:v>
                </c:pt>
                <c:pt idx="1">
                  <c:v>Mohit</c:v>
                </c:pt>
                <c:pt idx="2">
                  <c:v>Raj</c:v>
                </c:pt>
                <c:pt idx="3">
                  <c:v>Riya</c:v>
                </c:pt>
                <c:pt idx="4">
                  <c:v>Simran</c:v>
                </c:pt>
              </c:strCache>
            </c:strRef>
          </c:cat>
          <c:val>
            <c:numRef>
              <c:f>PIVOT_TABLES!$D$40:$D$45</c:f>
              <c:numCache>
                <c:formatCode>0.00%</c:formatCode>
                <c:ptCount val="5"/>
                <c:pt idx="0">
                  <c:v>4.3040268641217218E-2</c:v>
                </c:pt>
                <c:pt idx="1">
                  <c:v>5.6181704322988128E-2</c:v>
                </c:pt>
                <c:pt idx="2">
                  <c:v>5.6603883219131151E-2</c:v>
                </c:pt>
                <c:pt idx="3">
                  <c:v>6.4259615113435226E-2</c:v>
                </c:pt>
                <c:pt idx="4">
                  <c:v>5.6939387123840106E-2</c:v>
                </c:pt>
              </c:numCache>
            </c:numRef>
          </c:val>
          <c:extLst>
            <c:ext xmlns:c16="http://schemas.microsoft.com/office/drawing/2014/chart" uri="{C3380CC4-5D6E-409C-BE32-E72D297353CC}">
              <c16:uniqueId val="{00000002-F06D-40A8-8904-E95E928D1AE0}"/>
            </c:ext>
          </c:extLst>
        </c:ser>
        <c:ser>
          <c:idx val="3"/>
          <c:order val="3"/>
          <c:tx>
            <c:strRef>
              <c:f>PIVOT_TABLES!$E$38:$E$39</c:f>
              <c:strCache>
                <c:ptCount val="1"/>
                <c:pt idx="0">
                  <c:v>West</c:v>
                </c:pt>
              </c:strCache>
            </c:strRef>
          </c:tx>
          <c:spPr>
            <a:solidFill>
              <a:schemeClr val="accent4"/>
            </a:solidFill>
            <a:ln>
              <a:noFill/>
            </a:ln>
            <a:effectLst/>
            <a:sp3d/>
          </c:spPr>
          <c:invertIfNegative val="0"/>
          <c:cat>
            <c:strRef>
              <c:f>PIVOT_TABLES!$A$40:$A$45</c:f>
              <c:strCache>
                <c:ptCount val="5"/>
                <c:pt idx="0">
                  <c:v>Anjali</c:v>
                </c:pt>
                <c:pt idx="1">
                  <c:v>Mohit</c:v>
                </c:pt>
                <c:pt idx="2">
                  <c:v>Raj</c:v>
                </c:pt>
                <c:pt idx="3">
                  <c:v>Riya</c:v>
                </c:pt>
                <c:pt idx="4">
                  <c:v>Simran</c:v>
                </c:pt>
              </c:strCache>
            </c:strRef>
          </c:cat>
          <c:val>
            <c:numRef>
              <c:f>PIVOT_TABLES!$E$40:$E$45</c:f>
              <c:numCache>
                <c:formatCode>0.00%</c:formatCode>
                <c:ptCount val="5"/>
                <c:pt idx="0">
                  <c:v>5.0739674621680608E-2</c:v>
                </c:pt>
                <c:pt idx="1">
                  <c:v>4.9775939419200319E-2</c:v>
                </c:pt>
                <c:pt idx="2">
                  <c:v>4.1238931075678331E-2</c:v>
                </c:pt>
                <c:pt idx="3">
                  <c:v>3.9523548079925135E-2</c:v>
                </c:pt>
                <c:pt idx="4">
                  <c:v>4.9590295027545854E-2</c:v>
                </c:pt>
              </c:numCache>
            </c:numRef>
          </c:val>
          <c:extLst>
            <c:ext xmlns:c16="http://schemas.microsoft.com/office/drawing/2014/chart" uri="{C3380CC4-5D6E-409C-BE32-E72D297353CC}">
              <c16:uniqueId val="{00000003-F06D-40A8-8904-E95E928D1AE0}"/>
            </c:ext>
          </c:extLst>
        </c:ser>
        <c:dLbls>
          <c:showLegendKey val="0"/>
          <c:showVal val="0"/>
          <c:showCatName val="0"/>
          <c:showSerName val="0"/>
          <c:showPercent val="0"/>
          <c:showBubbleSize val="0"/>
        </c:dLbls>
        <c:gapWidth val="150"/>
        <c:shape val="box"/>
        <c:axId val="1883217616"/>
        <c:axId val="1787629696"/>
        <c:axId val="0"/>
      </c:bar3DChart>
      <c:catAx>
        <c:axId val="1883217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629696"/>
        <c:crosses val="autoZero"/>
        <c:auto val="1"/>
        <c:lblAlgn val="ctr"/>
        <c:lblOffset val="100"/>
        <c:noMultiLvlLbl val="0"/>
      </c:catAx>
      <c:valAx>
        <c:axId val="17876296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21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Staff Table (version 1).xlsx]PIVOT_TABLES!PivotTable8</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PIVOT_TABLES!$B$83:$B$84</c:f>
              <c:strCache>
                <c:ptCount val="1"/>
                <c:pt idx="0">
                  <c:v>East</c:v>
                </c:pt>
              </c:strCache>
            </c:strRef>
          </c:tx>
          <c:spPr>
            <a:ln w="28575" cap="rnd">
              <a:solidFill>
                <a:schemeClr val="accent1"/>
              </a:solidFill>
              <a:round/>
            </a:ln>
            <a:effectLst/>
          </c:spPr>
          <c:marker>
            <c:symbol val="none"/>
          </c:marker>
          <c:cat>
            <c:strRef>
              <c:f>PIVOT_TABLES!$A$85:$A$90</c:f>
              <c:strCache>
                <c:ptCount val="5"/>
                <c:pt idx="0">
                  <c:v>Headset</c:v>
                </c:pt>
                <c:pt idx="1">
                  <c:v>Keyboard</c:v>
                </c:pt>
                <c:pt idx="2">
                  <c:v>Laptop</c:v>
                </c:pt>
                <c:pt idx="3">
                  <c:v>Monitor</c:v>
                </c:pt>
                <c:pt idx="4">
                  <c:v>Mouse</c:v>
                </c:pt>
              </c:strCache>
            </c:strRef>
          </c:cat>
          <c:val>
            <c:numRef>
              <c:f>PIVOT_TABLES!$B$85:$B$90</c:f>
              <c:numCache>
                <c:formatCode>General</c:formatCode>
                <c:ptCount val="5"/>
                <c:pt idx="0">
                  <c:v>15311.871794871795</c:v>
                </c:pt>
                <c:pt idx="1">
                  <c:v>15127.833333333334</c:v>
                </c:pt>
                <c:pt idx="2">
                  <c:v>14669.314814814816</c:v>
                </c:pt>
                <c:pt idx="3">
                  <c:v>16319.039215686274</c:v>
                </c:pt>
                <c:pt idx="4">
                  <c:v>15217.929824561403</c:v>
                </c:pt>
              </c:numCache>
            </c:numRef>
          </c:val>
          <c:smooth val="0"/>
          <c:extLst>
            <c:ext xmlns:c16="http://schemas.microsoft.com/office/drawing/2014/chart" uri="{C3380CC4-5D6E-409C-BE32-E72D297353CC}">
              <c16:uniqueId val="{00000000-062A-435F-A7CE-38AEAEE7B710}"/>
            </c:ext>
          </c:extLst>
        </c:ser>
        <c:ser>
          <c:idx val="1"/>
          <c:order val="1"/>
          <c:tx>
            <c:strRef>
              <c:f>PIVOT_TABLES!$C$83:$C$84</c:f>
              <c:strCache>
                <c:ptCount val="1"/>
                <c:pt idx="0">
                  <c:v>North</c:v>
                </c:pt>
              </c:strCache>
            </c:strRef>
          </c:tx>
          <c:spPr>
            <a:ln w="28575" cap="rnd">
              <a:solidFill>
                <a:schemeClr val="accent2"/>
              </a:solidFill>
              <a:round/>
            </a:ln>
            <a:effectLst/>
          </c:spPr>
          <c:marker>
            <c:symbol val="none"/>
          </c:marker>
          <c:cat>
            <c:strRef>
              <c:f>PIVOT_TABLES!$A$85:$A$90</c:f>
              <c:strCache>
                <c:ptCount val="5"/>
                <c:pt idx="0">
                  <c:v>Headset</c:v>
                </c:pt>
                <c:pt idx="1">
                  <c:v>Keyboard</c:v>
                </c:pt>
                <c:pt idx="2">
                  <c:v>Laptop</c:v>
                </c:pt>
                <c:pt idx="3">
                  <c:v>Monitor</c:v>
                </c:pt>
                <c:pt idx="4">
                  <c:v>Mouse</c:v>
                </c:pt>
              </c:strCache>
            </c:strRef>
          </c:cat>
          <c:val>
            <c:numRef>
              <c:f>PIVOT_TABLES!$C$85:$C$90</c:f>
              <c:numCache>
                <c:formatCode>General</c:formatCode>
                <c:ptCount val="5"/>
                <c:pt idx="0">
                  <c:v>14215.218181818182</c:v>
                </c:pt>
                <c:pt idx="1">
                  <c:v>13295.306122448979</c:v>
                </c:pt>
                <c:pt idx="2">
                  <c:v>16159.35294117647</c:v>
                </c:pt>
                <c:pt idx="3">
                  <c:v>16131.927272727273</c:v>
                </c:pt>
                <c:pt idx="4">
                  <c:v>14512.391304347826</c:v>
                </c:pt>
              </c:numCache>
            </c:numRef>
          </c:val>
          <c:smooth val="0"/>
          <c:extLst>
            <c:ext xmlns:c16="http://schemas.microsoft.com/office/drawing/2014/chart" uri="{C3380CC4-5D6E-409C-BE32-E72D297353CC}">
              <c16:uniqueId val="{00000001-062A-435F-A7CE-38AEAEE7B710}"/>
            </c:ext>
          </c:extLst>
        </c:ser>
        <c:ser>
          <c:idx val="2"/>
          <c:order val="2"/>
          <c:tx>
            <c:strRef>
              <c:f>PIVOT_TABLES!$D$83:$D$84</c:f>
              <c:strCache>
                <c:ptCount val="1"/>
                <c:pt idx="0">
                  <c:v>South</c:v>
                </c:pt>
              </c:strCache>
            </c:strRef>
          </c:tx>
          <c:spPr>
            <a:ln w="28575" cap="rnd">
              <a:solidFill>
                <a:schemeClr val="accent3"/>
              </a:solidFill>
              <a:round/>
            </a:ln>
            <a:effectLst/>
          </c:spPr>
          <c:marker>
            <c:symbol val="none"/>
          </c:marker>
          <c:cat>
            <c:strRef>
              <c:f>PIVOT_TABLES!$A$85:$A$90</c:f>
              <c:strCache>
                <c:ptCount val="5"/>
                <c:pt idx="0">
                  <c:v>Headset</c:v>
                </c:pt>
                <c:pt idx="1">
                  <c:v>Keyboard</c:v>
                </c:pt>
                <c:pt idx="2">
                  <c:v>Laptop</c:v>
                </c:pt>
                <c:pt idx="3">
                  <c:v>Monitor</c:v>
                </c:pt>
                <c:pt idx="4">
                  <c:v>Mouse</c:v>
                </c:pt>
              </c:strCache>
            </c:strRef>
          </c:cat>
          <c:val>
            <c:numRef>
              <c:f>PIVOT_TABLES!$D$85:$D$90</c:f>
              <c:numCache>
                <c:formatCode>General</c:formatCode>
                <c:ptCount val="5"/>
                <c:pt idx="0">
                  <c:v>16338.232142857143</c:v>
                </c:pt>
                <c:pt idx="1">
                  <c:v>16741.280701754386</c:v>
                </c:pt>
                <c:pt idx="2">
                  <c:v>17191.48076923077</c:v>
                </c:pt>
                <c:pt idx="3">
                  <c:v>15236.1</c:v>
                </c:pt>
                <c:pt idx="4">
                  <c:v>15049.088888888889</c:v>
                </c:pt>
              </c:numCache>
            </c:numRef>
          </c:val>
          <c:smooth val="0"/>
          <c:extLst>
            <c:ext xmlns:c16="http://schemas.microsoft.com/office/drawing/2014/chart" uri="{C3380CC4-5D6E-409C-BE32-E72D297353CC}">
              <c16:uniqueId val="{00000002-062A-435F-A7CE-38AEAEE7B710}"/>
            </c:ext>
          </c:extLst>
        </c:ser>
        <c:ser>
          <c:idx val="3"/>
          <c:order val="3"/>
          <c:tx>
            <c:strRef>
              <c:f>PIVOT_TABLES!$E$83:$E$84</c:f>
              <c:strCache>
                <c:ptCount val="1"/>
                <c:pt idx="0">
                  <c:v>West</c:v>
                </c:pt>
              </c:strCache>
            </c:strRef>
          </c:tx>
          <c:spPr>
            <a:ln w="28575" cap="rnd">
              <a:solidFill>
                <a:schemeClr val="accent4"/>
              </a:solidFill>
              <a:round/>
            </a:ln>
            <a:effectLst/>
          </c:spPr>
          <c:marker>
            <c:symbol val="none"/>
          </c:marker>
          <c:cat>
            <c:strRef>
              <c:f>PIVOT_TABLES!$A$85:$A$90</c:f>
              <c:strCache>
                <c:ptCount val="5"/>
                <c:pt idx="0">
                  <c:v>Headset</c:v>
                </c:pt>
                <c:pt idx="1">
                  <c:v>Keyboard</c:v>
                </c:pt>
                <c:pt idx="2">
                  <c:v>Laptop</c:v>
                </c:pt>
                <c:pt idx="3">
                  <c:v>Monitor</c:v>
                </c:pt>
                <c:pt idx="4">
                  <c:v>Mouse</c:v>
                </c:pt>
              </c:strCache>
            </c:strRef>
          </c:cat>
          <c:val>
            <c:numRef>
              <c:f>PIVOT_TABLES!$E$85:$E$90</c:f>
              <c:numCache>
                <c:formatCode>General</c:formatCode>
                <c:ptCount val="5"/>
                <c:pt idx="0">
                  <c:v>15803.070175438597</c:v>
                </c:pt>
                <c:pt idx="1">
                  <c:v>14084.914285714285</c:v>
                </c:pt>
                <c:pt idx="2">
                  <c:v>15372.436363636363</c:v>
                </c:pt>
                <c:pt idx="3">
                  <c:v>16131.871794871795</c:v>
                </c:pt>
                <c:pt idx="4">
                  <c:v>15571.906976744185</c:v>
                </c:pt>
              </c:numCache>
            </c:numRef>
          </c:val>
          <c:smooth val="0"/>
          <c:extLst>
            <c:ext xmlns:c16="http://schemas.microsoft.com/office/drawing/2014/chart" uri="{C3380CC4-5D6E-409C-BE32-E72D297353CC}">
              <c16:uniqueId val="{00000003-062A-435F-A7CE-38AEAEE7B710}"/>
            </c:ext>
          </c:extLst>
        </c:ser>
        <c:dLbls>
          <c:showLegendKey val="0"/>
          <c:showVal val="0"/>
          <c:showCatName val="0"/>
          <c:showSerName val="0"/>
          <c:showPercent val="0"/>
          <c:showBubbleSize val="0"/>
        </c:dLbls>
        <c:smooth val="0"/>
        <c:axId val="1995950464"/>
        <c:axId val="628138048"/>
      </c:lineChart>
      <c:catAx>
        <c:axId val="199595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138048"/>
        <c:crosses val="autoZero"/>
        <c:auto val="1"/>
        <c:lblAlgn val="ctr"/>
        <c:lblOffset val="100"/>
        <c:noMultiLvlLbl val="0"/>
      </c:catAx>
      <c:valAx>
        <c:axId val="62813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95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Staff Table (version 1).xlsx]PIVOT_DASHBOARD!PivotTable1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ANNUAL</a:t>
            </a:r>
            <a:r>
              <a:rPr lang="en-US" baseline="0">
                <a:solidFill>
                  <a:schemeClr val="bg1"/>
                </a:solidFill>
              </a:rPr>
              <a:t> SALARY</a:t>
            </a:r>
            <a:endParaRPr lang="en-US">
              <a:solidFill>
                <a:schemeClr val="bg1"/>
              </a:solidFill>
            </a:endParaRPr>
          </a:p>
        </c:rich>
      </c:tx>
      <c:layout>
        <c:manualLayout>
          <c:xMode val="edge"/>
          <c:yMode val="edge"/>
          <c:x val="5.237150979599433E-2"/>
          <c:y val="3.50877192982456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solidFill>
              <a:srgbClr val="FFFF00"/>
            </a:solidFill>
          </a:ln>
          <a:effectLst/>
          <a:sp3d>
            <a:contourClr>
              <a:srgbClr val="FFFF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outerShdw blurRad="63500" sx="102000" sy="102000" algn="ctr" rotWithShape="0">
            <a:prstClr val="black">
              <a:alpha val="40000"/>
            </a:prstClr>
          </a:outerShdw>
        </a:effectLst>
        <a:sp3d/>
      </c:spPr>
    </c:sideWall>
    <c:backWall>
      <c:thickness val="0"/>
      <c:spPr>
        <a:noFill/>
        <a:ln>
          <a:noFill/>
        </a:ln>
        <a:effectLst>
          <a:outerShdw blurRad="63500" sx="102000" sy="102000" algn="ctr" rotWithShape="0">
            <a:prstClr val="black">
              <a:alpha val="40000"/>
            </a:prstClr>
          </a:outerShdw>
        </a:effectLst>
        <a:sp3d/>
      </c:spPr>
    </c:backWall>
    <c:plotArea>
      <c:layout/>
      <c:bar3DChart>
        <c:barDir val="col"/>
        <c:grouping val="stacked"/>
        <c:varyColors val="0"/>
        <c:ser>
          <c:idx val="0"/>
          <c:order val="0"/>
          <c:tx>
            <c:strRef>
              <c:f>PIVOT_DASHBOARD!$B$5</c:f>
              <c:strCache>
                <c:ptCount val="1"/>
                <c:pt idx="0">
                  <c:v>Total</c:v>
                </c:pt>
              </c:strCache>
            </c:strRef>
          </c:tx>
          <c:spPr>
            <a:solidFill>
              <a:srgbClr val="FFC000"/>
            </a:solidFill>
            <a:ln>
              <a:solidFill>
                <a:srgbClr val="FFFF00"/>
              </a:solidFill>
            </a:ln>
            <a:effectLst/>
            <a:sp3d>
              <a:contourClr>
                <a:srgbClr val="FFFF00"/>
              </a:contourClr>
            </a:sp3d>
          </c:spPr>
          <c:invertIfNegative val="0"/>
          <c:cat>
            <c:strRef>
              <c:f>PIVOT_DASHBOARD!$A$6:$A$7</c:f>
              <c:strCache>
                <c:ptCount val="1"/>
                <c:pt idx="0">
                  <c:v>Finance</c:v>
                </c:pt>
              </c:strCache>
            </c:strRef>
          </c:cat>
          <c:val>
            <c:numRef>
              <c:f>PIVOT_DASHBOARD!$B$6:$B$7</c:f>
              <c:numCache>
                <c:formatCode>[$$-409]#,##0</c:formatCode>
                <c:ptCount val="1"/>
                <c:pt idx="0">
                  <c:v>92000</c:v>
                </c:pt>
              </c:numCache>
            </c:numRef>
          </c:val>
          <c:extLst>
            <c:ext xmlns:c16="http://schemas.microsoft.com/office/drawing/2014/chart" uri="{C3380CC4-5D6E-409C-BE32-E72D297353CC}">
              <c16:uniqueId val="{00000000-C686-4076-A42A-0F036CB11FC0}"/>
            </c:ext>
          </c:extLst>
        </c:ser>
        <c:dLbls>
          <c:showLegendKey val="0"/>
          <c:showVal val="0"/>
          <c:showCatName val="0"/>
          <c:showSerName val="0"/>
          <c:showPercent val="0"/>
          <c:showBubbleSize val="0"/>
        </c:dLbls>
        <c:gapWidth val="152"/>
        <c:gapDepth val="162"/>
        <c:shape val="pyramid"/>
        <c:axId val="944127215"/>
        <c:axId val="1104743648"/>
        <c:axId val="0"/>
      </c:bar3DChart>
      <c:catAx>
        <c:axId val="94412721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4743648"/>
        <c:crosses val="autoZero"/>
        <c:auto val="1"/>
        <c:lblAlgn val="ctr"/>
        <c:lblOffset val="100"/>
        <c:noMultiLvlLbl val="0"/>
      </c:catAx>
      <c:valAx>
        <c:axId val="1104743648"/>
        <c:scaling>
          <c:orientation val="minMax"/>
        </c:scaling>
        <c:delete val="0"/>
        <c:axPos val="l"/>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4412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27000">
        <a:schemeClr val="accent1">
          <a:alpha val="92000"/>
        </a:schemeClr>
      </a:glow>
      <a:outerShdw blurRad="50800" dist="50800" dir="5400000" algn="ctr" rotWithShape="0">
        <a:srgbClr val="000000">
          <a:alpha val="84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[Raw Staff Table (version 1).xlsx]PIVOT_DASHBOARD!TARGET VS SALES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TARGET</a:t>
            </a:r>
            <a:r>
              <a:rPr lang="en-US" baseline="0">
                <a:solidFill>
                  <a:schemeClr val="bg1"/>
                </a:solidFill>
              </a:rPr>
              <a:t> VS SALES</a:t>
            </a:r>
            <a:endParaRPr lang="en-US">
              <a:solidFill>
                <a:schemeClr val="bg1"/>
              </a:solidFill>
            </a:endParaRPr>
          </a:p>
        </c:rich>
      </c:tx>
      <c:layout>
        <c:manualLayout>
          <c:xMode val="edge"/>
          <c:yMode val="edge"/>
          <c:x val="0.1748070798592781"/>
          <c:y val="2.8223852933725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15048118985126"/>
          <c:y val="5.0925925925925923E-2"/>
          <c:w val="0.73962270341207348"/>
          <c:h val="0.86482283464566934"/>
        </c:manualLayout>
      </c:layout>
      <c:barChart>
        <c:barDir val="col"/>
        <c:grouping val="clustered"/>
        <c:varyColors val="0"/>
        <c:ser>
          <c:idx val="0"/>
          <c:order val="0"/>
          <c:tx>
            <c:strRef>
              <c:f>PIVOT_DASHBOARD!$B$16</c:f>
              <c:strCache>
                <c:ptCount val="1"/>
                <c:pt idx="0">
                  <c:v>Target.</c:v>
                </c:pt>
              </c:strCache>
            </c:strRef>
          </c:tx>
          <c:spPr>
            <a:solidFill>
              <a:srgbClr val="FFC000"/>
            </a:solidFill>
            <a:ln>
              <a:solidFill>
                <a:srgbClr val="FFFF00"/>
              </a:solidFill>
            </a:ln>
            <a:effectLst/>
          </c:spPr>
          <c:invertIfNegative val="0"/>
          <c:cat>
            <c:strRef>
              <c:f>PIVOT_DASHBOARD!$A$17:$A$18</c:f>
              <c:strCache>
                <c:ptCount val="1"/>
                <c:pt idx="0">
                  <c:v>Finance</c:v>
                </c:pt>
              </c:strCache>
            </c:strRef>
          </c:cat>
          <c:val>
            <c:numRef>
              <c:f>PIVOT_DASHBOARD!$B$17:$B$18</c:f>
              <c:numCache>
                <c:formatCode>[$$-409]#,##0</c:formatCode>
                <c:ptCount val="1"/>
                <c:pt idx="0">
                  <c:v>180000</c:v>
                </c:pt>
              </c:numCache>
            </c:numRef>
          </c:val>
          <c:extLst>
            <c:ext xmlns:c16="http://schemas.microsoft.com/office/drawing/2014/chart" uri="{C3380CC4-5D6E-409C-BE32-E72D297353CC}">
              <c16:uniqueId val="{00000000-95A7-4D58-A312-E8A07E033DCF}"/>
            </c:ext>
          </c:extLst>
        </c:ser>
        <c:ser>
          <c:idx val="1"/>
          <c:order val="1"/>
          <c:tx>
            <c:strRef>
              <c:f>PIVOT_DASHBOARD!$C$16</c:f>
              <c:strCache>
                <c:ptCount val="1"/>
                <c:pt idx="0">
                  <c:v>Sum</c:v>
                </c:pt>
              </c:strCache>
            </c:strRef>
          </c:tx>
          <c:spPr>
            <a:solidFill>
              <a:schemeClr val="accent6">
                <a:shade val="76000"/>
              </a:schemeClr>
            </a:solidFill>
            <a:ln>
              <a:noFill/>
            </a:ln>
            <a:effectLst/>
          </c:spPr>
          <c:invertIfNegative val="0"/>
          <c:cat>
            <c:strRef>
              <c:f>PIVOT_DASHBOARD!$A$17:$A$18</c:f>
              <c:strCache>
                <c:ptCount val="1"/>
                <c:pt idx="0">
                  <c:v>Finance</c:v>
                </c:pt>
              </c:strCache>
            </c:strRef>
          </c:cat>
          <c:val>
            <c:numRef>
              <c:f>PIVOT_DASHBOARD!$C$17:$C$18</c:f>
              <c:numCache>
                <c:formatCode>[$$-409]#,##0</c:formatCode>
                <c:ptCount val="1"/>
                <c:pt idx="0">
                  <c:v>175000</c:v>
                </c:pt>
              </c:numCache>
            </c:numRef>
          </c:val>
          <c:extLst>
            <c:ext xmlns:c16="http://schemas.microsoft.com/office/drawing/2014/chart" uri="{C3380CC4-5D6E-409C-BE32-E72D297353CC}">
              <c16:uniqueId val="{00000001-95A7-4D58-A312-E8A07E033DCF}"/>
            </c:ext>
          </c:extLst>
        </c:ser>
        <c:dLbls>
          <c:showLegendKey val="0"/>
          <c:showVal val="0"/>
          <c:showCatName val="0"/>
          <c:showSerName val="0"/>
          <c:showPercent val="0"/>
          <c:showBubbleSize val="0"/>
        </c:dLbls>
        <c:gapWidth val="219"/>
        <c:overlap val="-27"/>
        <c:axId val="1070663887"/>
        <c:axId val="1104736448"/>
      </c:barChart>
      <c:catAx>
        <c:axId val="107066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4736448"/>
        <c:crosses val="autoZero"/>
        <c:auto val="1"/>
        <c:lblAlgn val="ctr"/>
        <c:lblOffset val="100"/>
        <c:noMultiLvlLbl val="0"/>
      </c:catAx>
      <c:valAx>
        <c:axId val="1104736448"/>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70663887"/>
        <c:crosses val="autoZero"/>
        <c:crossBetween val="between"/>
      </c:valAx>
      <c:spPr>
        <a:noFill/>
        <a:ln>
          <a:noFill/>
        </a:ln>
        <a:effectLst/>
      </c:spPr>
    </c:plotArea>
    <c:legend>
      <c:legendPos val="r"/>
      <c:layout>
        <c:manualLayout>
          <c:xMode val="edge"/>
          <c:yMode val="edge"/>
          <c:x val="0.87759208223972007"/>
          <c:y val="0.42187445319335082"/>
          <c:w val="0.10574125109361329"/>
          <c:h val="0.327547389909594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Staff Table (version 1).xlsx]PIVOT_DASHBOARD!ROLE_ACHIVEMENT</c:name>
    <c:fmtId val="2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bg1"/>
                </a:solidFill>
              </a:rPr>
              <a:t>ROLE-WISE</a:t>
            </a:r>
            <a:r>
              <a:rPr lang="en-US" b="1" baseline="0">
                <a:solidFill>
                  <a:schemeClr val="bg1"/>
                </a:solidFill>
              </a:rPr>
              <a:t> ACHIVEMENT</a:t>
            </a:r>
            <a:endParaRPr lang="en-US" b="1">
              <a:solidFill>
                <a:schemeClr val="bg1"/>
              </a:solidFill>
            </a:endParaRPr>
          </a:p>
        </c:rich>
      </c:tx>
      <c:layout>
        <c:manualLayout>
          <c:xMode val="edge"/>
          <c:yMode val="edge"/>
          <c:x val="9.35292547279266E-2"/>
          <c:y val="3.010752688172043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C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s>
    <c:plotArea>
      <c:layout/>
      <c:lineChart>
        <c:grouping val="standard"/>
        <c:varyColors val="0"/>
        <c:ser>
          <c:idx val="0"/>
          <c:order val="0"/>
          <c:tx>
            <c:strRef>
              <c:f>PIVOT_DASHBOARD!$B$35</c:f>
              <c:strCache>
                <c:ptCount val="1"/>
                <c:pt idx="0">
                  <c:v>Total</c:v>
                </c:pt>
              </c:strCache>
            </c:strRef>
          </c:tx>
          <c:spPr>
            <a:ln w="28575" cap="rnd">
              <a:solidFill>
                <a:srgbClr val="FFC000"/>
              </a:solidFill>
              <a:round/>
            </a:ln>
            <a:effectLst/>
          </c:spPr>
          <c:marker>
            <c:symbol val="circle"/>
            <c:size val="5"/>
            <c:spPr>
              <a:solidFill>
                <a:schemeClr val="accent1"/>
              </a:solidFill>
              <a:ln w="9525">
                <a:solidFill>
                  <a:schemeClr val="accent1"/>
                </a:solidFill>
              </a:ln>
              <a:effectLst/>
            </c:spPr>
          </c:marker>
          <c:cat>
            <c:strRef>
              <c:f>PIVOT_DASHBOARD!$A$36:$A$37</c:f>
              <c:strCache>
                <c:ptCount val="1"/>
                <c:pt idx="0">
                  <c:v>Analyst</c:v>
                </c:pt>
              </c:strCache>
            </c:strRef>
          </c:cat>
          <c:val>
            <c:numRef>
              <c:f>PIVOT_DASHBOARD!$B$36:$B$37</c:f>
              <c:numCache>
                <c:formatCode>0.00%</c:formatCode>
                <c:ptCount val="1"/>
                <c:pt idx="0">
                  <c:v>1</c:v>
                </c:pt>
              </c:numCache>
            </c:numRef>
          </c:val>
          <c:smooth val="0"/>
          <c:extLst>
            <c:ext xmlns:c16="http://schemas.microsoft.com/office/drawing/2014/chart" uri="{C3380CC4-5D6E-409C-BE32-E72D297353CC}">
              <c16:uniqueId val="{00000000-0B75-4E4E-81CD-706E2BBD999C}"/>
            </c:ext>
          </c:extLst>
        </c:ser>
        <c:dLbls>
          <c:showLegendKey val="0"/>
          <c:showVal val="0"/>
          <c:showCatName val="0"/>
          <c:showSerName val="0"/>
          <c:showPercent val="0"/>
          <c:showBubbleSize val="0"/>
        </c:dLbls>
        <c:marker val="1"/>
        <c:smooth val="0"/>
        <c:axId val="1070700079"/>
        <c:axId val="1104747968"/>
      </c:lineChart>
      <c:catAx>
        <c:axId val="107070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1104747968"/>
        <c:crosses val="autoZero"/>
        <c:auto val="1"/>
        <c:lblAlgn val="ctr"/>
        <c:lblOffset val="100"/>
        <c:noMultiLvlLbl val="0"/>
      </c:catAx>
      <c:valAx>
        <c:axId val="110474796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7070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Staff Table (version 1).xlsx]PIVOT_DASHBOARD!PivotTable7</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GENDER</a:t>
            </a:r>
            <a:r>
              <a:rPr lang="en-US" sz="1600" b="1" baseline="0">
                <a:solidFill>
                  <a:schemeClr val="bg1"/>
                </a:solidFill>
              </a:rPr>
              <a:t> RATIO</a:t>
            </a:r>
            <a:endParaRPr lang="en-US" sz="1600" b="1">
              <a:solidFill>
                <a:schemeClr val="bg1"/>
              </a:solidFill>
            </a:endParaRPr>
          </a:p>
        </c:rich>
      </c:tx>
      <c:layout>
        <c:manualLayout>
          <c:xMode val="edge"/>
          <c:yMode val="edge"/>
          <c:x val="6.6402676918064965E-2"/>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0">
            <a:solidFill>
              <a:schemeClr val="tx1"/>
            </a:solidFill>
          </a:ln>
          <a:effectLst/>
        </c:spPr>
        <c:marker>
          <c:symbol val="none"/>
        </c:marker>
        <c:dLbl>
          <c:idx val="0"/>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w="0">
            <a:solidFill>
              <a:schemeClr val="tx1"/>
            </a:solidFill>
          </a:ln>
          <a:effectLst/>
        </c:spPr>
        <c:dLbl>
          <c:idx val="0"/>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w="0">
            <a:solidFill>
              <a:schemeClr val="tx1"/>
            </a:solidFill>
          </a:ln>
          <a:effectLst/>
        </c:spPr>
      </c:pivotFmt>
    </c:pivotFmts>
    <c:plotArea>
      <c:layout>
        <c:manualLayout>
          <c:layoutTarget val="inner"/>
          <c:xMode val="edge"/>
          <c:yMode val="edge"/>
          <c:x val="0.21720065423728455"/>
          <c:y val="0.18169838145231845"/>
          <c:w val="0.45795870787080395"/>
          <c:h val="0.79052384076990379"/>
        </c:manualLayout>
      </c:layout>
      <c:pieChart>
        <c:varyColors val="1"/>
        <c:ser>
          <c:idx val="0"/>
          <c:order val="0"/>
          <c:tx>
            <c:strRef>
              <c:f>PIVOT_DASHBOARD!$B$45</c:f>
              <c:strCache>
                <c:ptCount val="1"/>
                <c:pt idx="0">
                  <c:v>Total</c:v>
                </c:pt>
              </c:strCache>
            </c:strRef>
          </c:tx>
          <c:spPr>
            <a:ln w="0">
              <a:solidFill>
                <a:schemeClr val="tx1"/>
              </a:solidFill>
            </a:ln>
          </c:spPr>
          <c:dPt>
            <c:idx val="0"/>
            <c:bubble3D val="0"/>
            <c:spPr>
              <a:solidFill>
                <a:srgbClr val="00B050"/>
              </a:solidFill>
              <a:ln w="0">
                <a:solidFill>
                  <a:schemeClr val="tx1"/>
                </a:solidFill>
              </a:ln>
              <a:effectLst/>
            </c:spPr>
            <c:extLst>
              <c:ext xmlns:c16="http://schemas.microsoft.com/office/drawing/2014/chart" uri="{C3380CC4-5D6E-409C-BE32-E72D297353CC}">
                <c16:uniqueId val="{00000001-29D3-457B-A299-2A44F95451B7}"/>
              </c:ext>
            </c:extLst>
          </c:dPt>
          <c:dPt>
            <c:idx val="1"/>
            <c:bubble3D val="0"/>
            <c:spPr>
              <a:solidFill>
                <a:schemeClr val="accent2"/>
              </a:solidFill>
              <a:ln w="0">
                <a:solidFill>
                  <a:schemeClr val="tx1"/>
                </a:solidFill>
              </a:ln>
              <a:effectLst/>
            </c:spPr>
            <c:extLst>
              <c:ext xmlns:c16="http://schemas.microsoft.com/office/drawing/2014/chart" uri="{C3380CC4-5D6E-409C-BE32-E72D297353CC}">
                <c16:uniqueId val="{00000003-29D3-457B-A299-2A44F95451B7}"/>
              </c:ext>
            </c:extLst>
          </c:dPt>
          <c:dLbls>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PIVOT_DASHBOARD!$A$46:$A$47</c:f>
              <c:strCache>
                <c:ptCount val="1"/>
                <c:pt idx="0">
                  <c:v>Male</c:v>
                </c:pt>
              </c:strCache>
            </c:strRef>
          </c:cat>
          <c:val>
            <c:numRef>
              <c:f>PIVOT_DASHBOARD!$B$46:$B$47</c:f>
              <c:numCache>
                <c:formatCode>0.0%</c:formatCode>
                <c:ptCount val="1"/>
                <c:pt idx="0">
                  <c:v>1</c:v>
                </c:pt>
              </c:numCache>
            </c:numRef>
          </c:val>
          <c:extLst>
            <c:ext xmlns:c16="http://schemas.microsoft.com/office/drawing/2014/chart" uri="{C3380CC4-5D6E-409C-BE32-E72D297353CC}">
              <c16:uniqueId val="{00000004-29D3-457B-A299-2A44F95451B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Entry>
      <c:layout>
        <c:manualLayout>
          <c:xMode val="edge"/>
          <c:yMode val="edge"/>
          <c:x val="0.75120492207205825"/>
          <c:y val="9.6272601341498981E-2"/>
          <c:w val="0.20916037758167924"/>
          <c:h val="0.386575167687372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Staff Table (version 1).xlsx]PIVOT_DASHBOARD!EXPERIENCE_ACHIEVEMENT</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EXPERIENCE VS</a:t>
            </a:r>
            <a:r>
              <a:rPr lang="en-US" sz="1600" b="1" baseline="0">
                <a:solidFill>
                  <a:schemeClr val="bg1"/>
                </a:solidFill>
              </a:rPr>
              <a:t> PREFORMANCE</a:t>
            </a:r>
            <a:r>
              <a:rPr lang="en-US"/>
              <a:t> </a:t>
            </a:r>
          </a:p>
        </c:rich>
      </c:tx>
      <c:layout>
        <c:manualLayout>
          <c:xMode val="edge"/>
          <c:yMode val="edge"/>
          <c:x val="4.5293456012161573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a:sp3d/>
        </c:spPr>
      </c:pivotFmt>
      <c:pivotFmt>
        <c:idx val="4"/>
        <c:spPr>
          <a:solidFill>
            <a:srgbClr val="00B050"/>
          </a:solidFill>
          <a:ln>
            <a:noFill/>
          </a:ln>
          <a:effectLst/>
          <a:sp3d/>
        </c:spPr>
      </c:pivotFmt>
      <c:pivotFmt>
        <c:idx val="5"/>
        <c:spPr>
          <a:solidFill>
            <a:srgbClr val="FFFF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1"/>
        <c:ser>
          <c:idx val="0"/>
          <c:order val="0"/>
          <c:tx>
            <c:strRef>
              <c:f>PIVOT_DASHBOARD!$B$53</c:f>
              <c:strCache>
                <c:ptCount val="1"/>
                <c:pt idx="0">
                  <c:v>Total</c:v>
                </c:pt>
              </c:strCache>
            </c:strRef>
          </c:tx>
          <c:invertIfNegative val="0"/>
          <c:dPt>
            <c:idx val="0"/>
            <c:invertIfNegative val="0"/>
            <c:bubble3D val="0"/>
            <c:spPr>
              <a:solidFill>
                <a:srgbClr val="00B050"/>
              </a:solidFill>
              <a:ln>
                <a:noFill/>
              </a:ln>
              <a:effectLst/>
              <a:sp3d/>
            </c:spPr>
            <c:extLst>
              <c:ext xmlns:c16="http://schemas.microsoft.com/office/drawing/2014/chart" uri="{C3380CC4-5D6E-409C-BE32-E72D297353CC}">
                <c16:uniqueId val="{00000003-DE65-428F-872B-EB32ECD38281}"/>
              </c:ext>
            </c:extLst>
          </c:dPt>
          <c:cat>
            <c:strRef>
              <c:f>PIVOT_DASHBOARD!$A$54:$A$55</c:f>
              <c:strCache>
                <c:ptCount val="1"/>
                <c:pt idx="0">
                  <c:v>Mid-Level</c:v>
                </c:pt>
              </c:strCache>
            </c:strRef>
          </c:cat>
          <c:val>
            <c:numRef>
              <c:f>PIVOT_DASHBOARD!$B$54:$B$55</c:f>
              <c:numCache>
                <c:formatCode>0.00%</c:formatCode>
                <c:ptCount val="1"/>
                <c:pt idx="0">
                  <c:v>1</c:v>
                </c:pt>
              </c:numCache>
            </c:numRef>
          </c:val>
          <c:extLst>
            <c:ext xmlns:c16="http://schemas.microsoft.com/office/drawing/2014/chart" uri="{C3380CC4-5D6E-409C-BE32-E72D297353CC}">
              <c16:uniqueId val="{00000000-DE65-428F-872B-EB32ECD38281}"/>
            </c:ext>
          </c:extLst>
        </c:ser>
        <c:dLbls>
          <c:showLegendKey val="0"/>
          <c:showVal val="0"/>
          <c:showCatName val="0"/>
          <c:showSerName val="0"/>
          <c:showPercent val="0"/>
          <c:showBubbleSize val="0"/>
        </c:dLbls>
        <c:gapWidth val="150"/>
        <c:shape val="box"/>
        <c:axId val="1070688479"/>
        <c:axId val="1104736448"/>
        <c:axId val="0"/>
      </c:bar3DChart>
      <c:catAx>
        <c:axId val="1070688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104736448"/>
        <c:crosses val="autoZero"/>
        <c:auto val="1"/>
        <c:lblAlgn val="ctr"/>
        <c:lblOffset val="100"/>
        <c:noMultiLvlLbl val="0"/>
      </c:catAx>
      <c:valAx>
        <c:axId val="110473644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1" u="none" strike="noStrike" kern="1200" baseline="0">
                <a:solidFill>
                  <a:schemeClr val="bg1"/>
                </a:solidFill>
                <a:latin typeface="+mn-lt"/>
                <a:ea typeface="+mn-ea"/>
                <a:cs typeface="+mn-cs"/>
              </a:defRPr>
            </a:pPr>
            <a:endParaRPr lang="en-US"/>
          </a:p>
        </c:txPr>
        <c:crossAx val="107068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Staff Table (version 1).xlsx]PIVOT_DASHBOARD!PivotTable9</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bg1"/>
                </a:solidFill>
              </a:rPr>
              <a:t>MALE VS FEMALE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PIVOT_DASHBOARD!$B$62:$B$63</c:f>
              <c:strCache>
                <c:ptCount val="1"/>
                <c:pt idx="0">
                  <c:v>Male</c:v>
                </c:pt>
              </c:strCache>
            </c:strRef>
          </c:tx>
          <c:spPr>
            <a:solidFill>
              <a:srgbClr val="FFFF00"/>
            </a:solidFill>
            <a:ln>
              <a:noFill/>
            </a:ln>
            <a:effectLst/>
            <a:sp3d/>
          </c:spPr>
          <c:invertIfNegative val="0"/>
          <c:cat>
            <c:strRef>
              <c:f>PIVOT_DASHBOARD!$A$64:$A$65</c:f>
              <c:strCache>
                <c:ptCount val="1"/>
                <c:pt idx="0">
                  <c:v>Analyst</c:v>
                </c:pt>
              </c:strCache>
            </c:strRef>
          </c:cat>
          <c:val>
            <c:numRef>
              <c:f>PIVOT_DASHBOARD!$B$64:$B$65</c:f>
              <c:numCache>
                <c:formatCode>[$$-409]#,##0</c:formatCode>
                <c:ptCount val="1"/>
                <c:pt idx="0">
                  <c:v>92000</c:v>
                </c:pt>
              </c:numCache>
            </c:numRef>
          </c:val>
          <c:extLst>
            <c:ext xmlns:c16="http://schemas.microsoft.com/office/drawing/2014/chart" uri="{C3380CC4-5D6E-409C-BE32-E72D297353CC}">
              <c16:uniqueId val="{00000000-E166-45A5-A560-7785B60E49AA}"/>
            </c:ext>
          </c:extLst>
        </c:ser>
        <c:dLbls>
          <c:showLegendKey val="0"/>
          <c:showVal val="0"/>
          <c:showCatName val="0"/>
          <c:showSerName val="0"/>
          <c:showPercent val="0"/>
          <c:showBubbleSize val="0"/>
        </c:dLbls>
        <c:gapWidth val="150"/>
        <c:shape val="box"/>
        <c:axId val="1107273776"/>
        <c:axId val="1104765248"/>
        <c:axId val="0"/>
      </c:bar3DChart>
      <c:catAx>
        <c:axId val="1107273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104765248"/>
        <c:crosses val="autoZero"/>
        <c:auto val="1"/>
        <c:lblAlgn val="ctr"/>
        <c:lblOffset val="100"/>
        <c:noMultiLvlLbl val="0"/>
      </c:catAx>
      <c:valAx>
        <c:axId val="1104765248"/>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107273776"/>
        <c:crosses val="autoZero"/>
        <c:crossBetween val="between"/>
      </c:valAx>
      <c:spPr>
        <a:noFill/>
        <a:ln>
          <a:noFill/>
        </a:ln>
        <a:effectLst/>
      </c:spPr>
    </c:plotArea>
    <c:legend>
      <c:legendPos val="r"/>
      <c:layout>
        <c:manualLayout>
          <c:xMode val="edge"/>
          <c:yMode val="edge"/>
          <c:x val="0.85348807486020761"/>
          <c:y val="0.42208260425780103"/>
          <c:w val="0.12912062079196623"/>
          <c:h val="0.2164362787984835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47625</xdr:colOff>
      <xdr:row>2</xdr:row>
      <xdr:rowOff>123826</xdr:rowOff>
    </xdr:from>
    <xdr:to>
      <xdr:col>11</xdr:col>
      <xdr:colOff>123824</xdr:colOff>
      <xdr:row>12</xdr:row>
      <xdr:rowOff>123826</xdr:rowOff>
    </xdr:to>
    <xdr:graphicFrame macro="">
      <xdr:nvGraphicFramePr>
        <xdr:cNvPr id="2" name="Chart 1">
          <a:extLst>
            <a:ext uri="{FF2B5EF4-FFF2-40B4-BE49-F238E27FC236}">
              <a16:creationId xmlns:a16="http://schemas.microsoft.com/office/drawing/2014/main" id="{2D3A3E19-2A84-7980-E5B9-5ED241DEF9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276225</xdr:colOff>
      <xdr:row>35</xdr:row>
      <xdr:rowOff>161924</xdr:rowOff>
    </xdr:from>
    <xdr:to>
      <xdr:col>11</xdr:col>
      <xdr:colOff>238125</xdr:colOff>
      <xdr:row>45</xdr:row>
      <xdr:rowOff>185736</xdr:rowOff>
    </xdr:to>
    <xdr:graphicFrame macro="">
      <xdr:nvGraphicFramePr>
        <xdr:cNvPr id="3" name="Chart 2">
          <a:extLst>
            <a:ext uri="{FF2B5EF4-FFF2-40B4-BE49-F238E27FC236}">
              <a16:creationId xmlns:a16="http://schemas.microsoft.com/office/drawing/2014/main" id="{4656E649-1F87-50EB-9D76-072141A09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695325</xdr:colOff>
      <xdr:row>81</xdr:row>
      <xdr:rowOff>76199</xdr:rowOff>
    </xdr:from>
    <xdr:to>
      <xdr:col>11</xdr:col>
      <xdr:colOff>123825</xdr:colOff>
      <xdr:row>91</xdr:row>
      <xdr:rowOff>14286</xdr:rowOff>
    </xdr:to>
    <xdr:graphicFrame macro="">
      <xdr:nvGraphicFramePr>
        <xdr:cNvPr id="4" name="Chart 3">
          <a:extLst>
            <a:ext uri="{FF2B5EF4-FFF2-40B4-BE49-F238E27FC236}">
              <a16:creationId xmlns:a16="http://schemas.microsoft.com/office/drawing/2014/main" id="{4E1922A0-FBA2-4182-D909-F805D6CCE5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76483</xdr:colOff>
      <xdr:row>0</xdr:row>
      <xdr:rowOff>73979</xdr:rowOff>
    </xdr:from>
    <xdr:to>
      <xdr:col>9</xdr:col>
      <xdr:colOff>244930</xdr:colOff>
      <xdr:row>15</xdr:row>
      <xdr:rowOff>149679</xdr:rowOff>
    </xdr:to>
    <xdr:graphicFrame macro="">
      <xdr:nvGraphicFramePr>
        <xdr:cNvPr id="2" name="Chart 1">
          <a:extLst>
            <a:ext uri="{FF2B5EF4-FFF2-40B4-BE49-F238E27FC236}">
              <a16:creationId xmlns:a16="http://schemas.microsoft.com/office/drawing/2014/main" id="{FD4F4A78-9D40-43F1-8950-70FD2ADA0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340179</xdr:colOff>
      <xdr:row>0</xdr:row>
      <xdr:rowOff>54428</xdr:rowOff>
    </xdr:from>
    <xdr:to>
      <xdr:col>17</xdr:col>
      <xdr:colOff>312965</xdr:colOff>
      <xdr:row>15</xdr:row>
      <xdr:rowOff>190499</xdr:rowOff>
    </xdr:to>
    <xdr:graphicFrame macro="">
      <xdr:nvGraphicFramePr>
        <xdr:cNvPr id="3" name="Chart 2">
          <a:extLst>
            <a:ext uri="{FF2B5EF4-FFF2-40B4-BE49-F238E27FC236}">
              <a16:creationId xmlns:a16="http://schemas.microsoft.com/office/drawing/2014/main" id="{E4D82984-9C5A-4BFA-992D-97B0F9DB8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210910</xdr:colOff>
      <xdr:row>16</xdr:row>
      <xdr:rowOff>122465</xdr:rowOff>
    </xdr:from>
    <xdr:to>
      <xdr:col>4</xdr:col>
      <xdr:colOff>557893</xdr:colOff>
      <xdr:row>26</xdr:row>
      <xdr:rowOff>122464</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8EAA00B2-78E1-40A4-89F6-963BE8C1FD2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871231" y="3170465"/>
              <a:ext cx="959305" cy="1904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190500</xdr:colOff>
      <xdr:row>16</xdr:row>
      <xdr:rowOff>122464</xdr:rowOff>
    </xdr:from>
    <xdr:to>
      <xdr:col>3</xdr:col>
      <xdr:colOff>149679</xdr:colOff>
      <xdr:row>30</xdr:row>
      <xdr:rowOff>176893</xdr:rowOff>
    </xdr:to>
    <mc:AlternateContent xmlns:mc="http://schemas.openxmlformats.org/markup-compatibility/2006">
      <mc:Choice xmlns:a14="http://schemas.microsoft.com/office/drawing/2010/main" Requires="a14">
        <xdr:graphicFrame macro="">
          <xdr:nvGraphicFramePr>
            <xdr:cNvPr id="5" name="Emp ID">
              <a:extLst>
                <a:ext uri="{FF2B5EF4-FFF2-40B4-BE49-F238E27FC236}">
                  <a16:creationId xmlns:a16="http://schemas.microsoft.com/office/drawing/2014/main" id="{9066917F-9442-4850-9C08-22DC59C0E278}"/>
                </a:ext>
              </a:extLst>
            </xdr:cNvPr>
            <xdr:cNvGraphicFramePr/>
          </xdr:nvGraphicFramePr>
          <xdr:xfrm>
            <a:off x="0" y="0"/>
            <a:ext cx="0" cy="0"/>
          </xdr:xfrm>
          <a:graphic>
            <a:graphicData uri="http://schemas.microsoft.com/office/drawing/2010/slicer">
              <sle:slicer xmlns:sle="http://schemas.microsoft.com/office/drawing/2010/slicer" name="Emp ID"/>
            </a:graphicData>
          </a:graphic>
        </xdr:graphicFrame>
      </mc:Choice>
      <mc:Fallback>
        <xdr:sp macro="" textlink="">
          <xdr:nvSpPr>
            <xdr:cNvPr id="0" name=""/>
            <xdr:cNvSpPr>
              <a:spLocks noTextEdit="1"/>
            </xdr:cNvSpPr>
          </xdr:nvSpPr>
          <xdr:spPr>
            <a:xfrm>
              <a:off x="2775857" y="3170464"/>
              <a:ext cx="1034143" cy="27214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435429</xdr:colOff>
      <xdr:row>0</xdr:row>
      <xdr:rowOff>81643</xdr:rowOff>
    </xdr:from>
    <xdr:to>
      <xdr:col>25</xdr:col>
      <xdr:colOff>544285</xdr:colOff>
      <xdr:row>15</xdr:row>
      <xdr:rowOff>176893</xdr:rowOff>
    </xdr:to>
    <xdr:graphicFrame macro="">
      <xdr:nvGraphicFramePr>
        <xdr:cNvPr id="6" name="Chart 5">
          <a:extLst>
            <a:ext uri="{FF2B5EF4-FFF2-40B4-BE49-F238E27FC236}">
              <a16:creationId xmlns:a16="http://schemas.microsoft.com/office/drawing/2014/main" id="{CC85B129-7287-4FE1-951B-6C4FE08C8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68037</xdr:colOff>
      <xdr:row>16</xdr:row>
      <xdr:rowOff>122465</xdr:rowOff>
    </xdr:from>
    <xdr:to>
      <xdr:col>11</xdr:col>
      <xdr:colOff>367394</xdr:colOff>
      <xdr:row>31</xdr:row>
      <xdr:rowOff>8165</xdr:rowOff>
    </xdr:to>
    <xdr:graphicFrame macro="">
      <xdr:nvGraphicFramePr>
        <xdr:cNvPr id="7" name="Chart 6">
          <a:extLst>
            <a:ext uri="{FF2B5EF4-FFF2-40B4-BE49-F238E27FC236}">
              <a16:creationId xmlns:a16="http://schemas.microsoft.com/office/drawing/2014/main" id="{33134D10-704A-42A2-8778-195ABB1227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489857</xdr:colOff>
      <xdr:row>16</xdr:row>
      <xdr:rowOff>122464</xdr:rowOff>
    </xdr:from>
    <xdr:to>
      <xdr:col>18</xdr:col>
      <xdr:colOff>326571</xdr:colOff>
      <xdr:row>31</xdr:row>
      <xdr:rowOff>8164</xdr:rowOff>
    </xdr:to>
    <xdr:graphicFrame macro="">
      <xdr:nvGraphicFramePr>
        <xdr:cNvPr id="8" name="Chart 7">
          <a:extLst>
            <a:ext uri="{FF2B5EF4-FFF2-40B4-BE49-F238E27FC236}">
              <a16:creationId xmlns:a16="http://schemas.microsoft.com/office/drawing/2014/main" id="{C6E34A06-B56F-4556-B397-8AB9C139E5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462643</xdr:colOff>
      <xdr:row>17</xdr:row>
      <xdr:rowOff>0</xdr:rowOff>
    </xdr:from>
    <xdr:to>
      <xdr:col>25</xdr:col>
      <xdr:colOff>557893</xdr:colOff>
      <xdr:row>31</xdr:row>
      <xdr:rowOff>76200</xdr:rowOff>
    </xdr:to>
    <xdr:graphicFrame macro="">
      <xdr:nvGraphicFramePr>
        <xdr:cNvPr id="9" name="Chart 8">
          <a:extLst>
            <a:ext uri="{FF2B5EF4-FFF2-40B4-BE49-F238E27FC236}">
              <a16:creationId xmlns:a16="http://schemas.microsoft.com/office/drawing/2014/main" id="{B88F8D82-E6AD-447C-87C2-A998B0594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20.653259953702" createdVersion="8" refreshedVersion="8" minRefreshableVersion="3" recordCount="1000" xr:uid="{7EA7A876-C4AC-4D99-8A61-6C1CCAD3F3DF}">
  <cacheSource type="worksheet">
    <worksheetSource name="Table4"/>
  </cacheSource>
  <cacheFields count="7">
    <cacheField name="Product" numFmtId="0">
      <sharedItems count="5">
        <s v="Monitor"/>
        <s v="Headset"/>
        <s v="Laptop"/>
        <s v="Keyboard"/>
        <s v="Mouse"/>
      </sharedItems>
    </cacheField>
    <cacheField name="Region" numFmtId="0">
      <sharedItems count="4">
        <s v="North"/>
        <s v="South"/>
        <s v="East"/>
        <s v="West"/>
      </sharedItems>
    </cacheField>
    <cacheField name="Employee" numFmtId="0">
      <sharedItems count="5">
        <s v="Raj"/>
        <s v="Mohit"/>
        <s v="Simran"/>
        <s v="Anjali"/>
        <s v="Riya"/>
      </sharedItems>
    </cacheField>
    <cacheField name="Month" numFmtId="0">
      <sharedItems count="6">
        <s v="Feb"/>
        <s v="Jun"/>
        <s v="Jan"/>
        <s v="May"/>
        <s v="Mar"/>
        <s v="Apr"/>
      </sharedItems>
    </cacheField>
    <cacheField name="Quantity" numFmtId="0">
      <sharedItems containsMixedTypes="1" containsNumber="1" containsInteger="1" minValue="1" maxValue="10"/>
    </cacheField>
    <cacheField name="Price" numFmtId="0">
      <sharedItems containsSemiMixedTypes="0" containsString="0" containsNumber="1" containsInteger="1" minValue="1012" maxValue="29980" count="980">
        <n v="23149"/>
        <n v="2893"/>
        <n v="8806"/>
        <n v="10978"/>
        <n v="8777"/>
        <n v="14359"/>
        <n v="15337"/>
        <n v="14135"/>
        <n v="29761"/>
        <n v="3667"/>
        <n v="20079"/>
        <n v="10486"/>
        <n v="5389"/>
        <n v="24111"/>
        <n v="23359"/>
        <n v="11655"/>
        <n v="1967"/>
        <n v="29101"/>
        <n v="21105"/>
        <n v="19628"/>
        <n v="19849"/>
        <n v="11668"/>
        <n v="17697"/>
        <n v="1083"/>
        <n v="8994"/>
        <n v="21294"/>
        <n v="29088"/>
        <n v="11447"/>
        <n v="3418"/>
        <n v="9633"/>
        <n v="27221"/>
        <n v="20073"/>
        <n v="12418"/>
        <n v="14804"/>
        <n v="14311"/>
        <n v="17147"/>
        <n v="26273"/>
        <n v="7658"/>
        <n v="15502"/>
        <n v="14039"/>
        <n v="27031"/>
        <n v="24563"/>
        <n v="27042"/>
        <n v="10795"/>
        <n v="9577"/>
        <n v="23294"/>
        <n v="11922"/>
        <n v="13397"/>
        <n v="5598"/>
        <n v="11877"/>
        <n v="23732"/>
        <n v="15750"/>
        <n v="14818"/>
        <n v="20366"/>
        <n v="6977"/>
        <n v="16291"/>
        <n v="18077"/>
        <n v="29614"/>
        <n v="21191"/>
        <n v="13599"/>
        <n v="10925"/>
        <n v="13078"/>
        <n v="25964"/>
        <n v="1640"/>
        <n v="3415"/>
        <n v="15687"/>
        <n v="7546"/>
        <n v="4127"/>
        <n v="14789"/>
        <n v="28810"/>
        <n v="1857"/>
        <n v="10544"/>
        <n v="3039"/>
        <n v="28892"/>
        <n v="8511"/>
        <n v="7830"/>
        <n v="26619"/>
        <n v="24282"/>
        <n v="14023"/>
        <n v="23766"/>
        <n v="9038"/>
        <n v="7291"/>
        <n v="1087"/>
        <n v="24198"/>
        <n v="16981"/>
        <n v="11258"/>
        <n v="28979"/>
        <n v="17371"/>
        <n v="20318"/>
        <n v="27080"/>
        <n v="8285"/>
        <n v="11636"/>
        <n v="4688"/>
        <n v="20837"/>
        <n v="19748"/>
        <n v="4398"/>
        <n v="27401"/>
        <n v="28700"/>
        <n v="3102"/>
        <n v="4560"/>
        <n v="16834"/>
        <n v="16844"/>
        <n v="5610"/>
        <n v="10258"/>
        <n v="27712"/>
        <n v="1195"/>
        <n v="28321"/>
        <n v="2950"/>
        <n v="3622"/>
        <n v="9706"/>
        <n v="22759"/>
        <n v="27672"/>
        <n v="17466"/>
        <n v="14662"/>
        <n v="23697"/>
        <n v="24154"/>
        <n v="12880"/>
        <n v="18674"/>
        <n v="28592"/>
        <n v="17660"/>
        <n v="21179"/>
        <n v="7322"/>
        <n v="28781"/>
        <n v="29107"/>
        <n v="28975"/>
        <n v="29632"/>
        <n v="13356"/>
        <n v="15805"/>
        <n v="8315"/>
        <n v="16859"/>
        <n v="15287"/>
        <n v="11679"/>
        <n v="3089"/>
        <n v="28578"/>
        <n v="24935"/>
        <n v="6556"/>
        <n v="25210"/>
        <n v="10076"/>
        <n v="3644"/>
        <n v="4894"/>
        <n v="27957"/>
        <n v="25949"/>
        <n v="12594"/>
        <n v="28271"/>
        <n v="19852"/>
        <n v="20742"/>
        <n v="25165"/>
        <n v="25782"/>
        <n v="24531"/>
        <n v="11428"/>
        <n v="13594"/>
        <n v="2715"/>
        <n v="9548"/>
        <n v="14241"/>
        <n v="25466"/>
        <n v="9071"/>
        <n v="4416"/>
        <n v="11062"/>
        <n v="21026"/>
        <n v="16388"/>
        <n v="1463"/>
        <n v="22769"/>
        <n v="12804"/>
        <n v="8340"/>
        <n v="21487"/>
        <n v="7278"/>
        <n v="3709"/>
        <n v="23046"/>
        <n v="11864"/>
        <n v="15241"/>
        <n v="14428"/>
        <n v="20923"/>
        <n v="5041"/>
        <n v="14634"/>
        <n v="2161"/>
        <n v="10931"/>
        <n v="5964"/>
        <n v="11854"/>
        <n v="28164"/>
        <n v="9506"/>
        <n v="20609"/>
        <n v="21018"/>
        <n v="16527"/>
        <n v="12438"/>
        <n v="10562"/>
        <n v="23949"/>
        <n v="7057"/>
        <n v="12382"/>
        <n v="17650"/>
        <n v="17022"/>
        <n v="23642"/>
        <n v="11825"/>
        <n v="14989"/>
        <n v="18643"/>
        <n v="14377"/>
        <n v="5155"/>
        <n v="19727"/>
        <n v="25704"/>
        <n v="23605"/>
        <n v="27924"/>
        <n v="11494"/>
        <n v="9174"/>
        <n v="27975"/>
        <n v="25030"/>
        <n v="18073"/>
        <n v="29086"/>
        <n v="6783"/>
        <n v="1345"/>
        <n v="27383"/>
        <n v="16579"/>
        <n v="18260"/>
        <n v="22002"/>
        <n v="13533"/>
        <n v="14578"/>
        <n v="19785"/>
        <n v="13302"/>
        <n v="15541"/>
        <n v="28206"/>
        <n v="22584"/>
        <n v="6326"/>
        <n v="28446"/>
        <n v="9446"/>
        <n v="3557"/>
        <n v="26976"/>
        <n v="1891"/>
        <n v="27439"/>
        <n v="17070"/>
        <n v="7095"/>
        <n v="10186"/>
        <n v="17630"/>
        <n v="15363"/>
        <n v="20890"/>
        <n v="26085"/>
        <n v="7572"/>
        <n v="13994"/>
        <n v="9125"/>
        <n v="13621"/>
        <n v="7551"/>
        <n v="26253"/>
        <n v="7327"/>
        <n v="14715"/>
        <n v="24215"/>
        <n v="1141"/>
        <n v="21646"/>
        <n v="5010"/>
        <n v="24487"/>
        <n v="22221"/>
        <n v="23769"/>
        <n v="1935"/>
        <n v="15298"/>
        <n v="13700"/>
        <n v="1484"/>
        <n v="23401"/>
        <n v="27779"/>
        <n v="5445"/>
        <n v="14083"/>
        <n v="25388"/>
        <n v="26102"/>
        <n v="26624"/>
        <n v="23419"/>
        <n v="18650"/>
        <n v="10835"/>
        <n v="5241"/>
        <n v="12424"/>
        <n v="10039"/>
        <n v="9053"/>
        <n v="2334"/>
        <n v="1506"/>
        <n v="10255"/>
        <n v="28266"/>
        <n v="13372"/>
        <n v="14197"/>
        <n v="19513"/>
        <n v="7335"/>
        <n v="26248"/>
        <n v="28970"/>
        <n v="1226"/>
        <n v="18695"/>
        <n v="23169"/>
        <n v="5057"/>
        <n v="22704"/>
        <n v="17811"/>
        <n v="16084"/>
        <n v="22705"/>
        <n v="12455"/>
        <n v="6211"/>
        <n v="17029"/>
        <n v="14459"/>
        <n v="4266"/>
        <n v="26448"/>
        <n v="4027"/>
        <n v="13387"/>
        <n v="18439"/>
        <n v="13538"/>
        <n v="20254"/>
        <n v="24265"/>
        <n v="15505"/>
        <n v="20175"/>
        <n v="29855"/>
        <n v="8031"/>
        <n v="21906"/>
        <n v="24713"/>
        <n v="28189"/>
        <n v="11021"/>
        <n v="2943"/>
        <n v="19499"/>
        <n v="28778"/>
        <n v="15167"/>
        <n v="19421"/>
        <n v="8089"/>
        <n v="12234"/>
        <n v="23160"/>
        <n v="4837"/>
        <n v="4473"/>
        <n v="5885"/>
        <n v="23350"/>
        <n v="22934"/>
        <n v="8794"/>
        <n v="18895"/>
        <n v="4056"/>
        <n v="21918"/>
        <n v="6519"/>
        <n v="14937"/>
        <n v="9000"/>
        <n v="24921"/>
        <n v="28953"/>
        <n v="4407"/>
        <n v="23717"/>
        <n v="10511"/>
        <n v="21221"/>
        <n v="19911"/>
        <n v="21628"/>
        <n v="16296"/>
        <n v="17713"/>
        <n v="19823"/>
        <n v="24759"/>
        <n v="19673"/>
        <n v="23814"/>
        <n v="12436"/>
        <n v="17262"/>
        <n v="17654"/>
        <n v="17044"/>
        <n v="28324"/>
        <n v="17525"/>
        <n v="13071"/>
        <n v="18611"/>
        <n v="20994"/>
        <n v="26749"/>
        <n v="15968"/>
        <n v="13695"/>
        <n v="22607"/>
        <n v="10081"/>
        <n v="21631"/>
        <n v="5552"/>
        <n v="1756"/>
        <n v="1632"/>
        <n v="6009"/>
        <n v="27798"/>
        <n v="22062"/>
        <n v="15119"/>
        <n v="17255"/>
        <n v="15756"/>
        <n v="27819"/>
        <n v="17329"/>
        <n v="14778"/>
        <n v="22102"/>
        <n v="25677"/>
        <n v="17270"/>
        <n v="4414"/>
        <n v="8793"/>
        <n v="5281"/>
        <n v="8366"/>
        <n v="12268"/>
        <n v="23467"/>
        <n v="19347"/>
        <n v="18916"/>
        <n v="10992"/>
        <n v="1908"/>
        <n v="23316"/>
        <n v="15857"/>
        <n v="4049"/>
        <n v="15100"/>
        <n v="17531"/>
        <n v="25476"/>
        <n v="5771"/>
        <n v="1649"/>
        <n v="25866"/>
        <n v="21389"/>
        <n v="12517"/>
        <n v="21099"/>
        <n v="22312"/>
        <n v="1135"/>
        <n v="29941"/>
        <n v="22642"/>
        <n v="6639"/>
        <n v="9206"/>
        <n v="21041"/>
        <n v="10683"/>
        <n v="24832"/>
        <n v="15524"/>
        <n v="17455"/>
        <n v="6475"/>
        <n v="20448"/>
        <n v="22905"/>
        <n v="7757"/>
        <n v="21338"/>
        <n v="21378"/>
        <n v="9593"/>
        <n v="28040"/>
        <n v="4578"/>
        <n v="4781"/>
        <n v="15368"/>
        <n v="10969"/>
        <n v="13027"/>
        <n v="5608"/>
        <n v="13748"/>
        <n v="12689"/>
        <n v="4988"/>
        <n v="27762"/>
        <n v="25760"/>
        <n v="12302"/>
        <n v="15190"/>
        <n v="23289"/>
        <n v="3052"/>
        <n v="6038"/>
        <n v="24852"/>
        <n v="6272"/>
        <n v="22981"/>
        <n v="22068"/>
        <n v="20515"/>
        <n v="6366"/>
        <n v="6730"/>
        <n v="12591"/>
        <n v="19832"/>
        <n v="19640"/>
        <n v="20220"/>
        <n v="29159"/>
        <n v="24376"/>
        <n v="1318"/>
        <n v="21978"/>
        <n v="19220"/>
        <n v="20748"/>
        <n v="11925"/>
        <n v="20275"/>
        <n v="20387"/>
        <n v="3628"/>
        <n v="15809"/>
        <n v="25908"/>
        <n v="3666"/>
        <n v="12713"/>
        <n v="29332"/>
        <n v="19426"/>
        <n v="10471"/>
        <n v="18167"/>
        <n v="26360"/>
        <n v="19717"/>
        <n v="15779"/>
        <n v="28895"/>
        <n v="29446"/>
        <n v="12326"/>
        <n v="20690"/>
        <n v="9664"/>
        <n v="9751"/>
        <n v="10521"/>
        <n v="12181"/>
        <n v="22944"/>
        <n v="20296"/>
        <n v="3999"/>
        <n v="28157"/>
        <n v="21259"/>
        <n v="9607"/>
        <n v="13601"/>
        <n v="5967"/>
        <n v="1036"/>
        <n v="23329"/>
        <n v="10695"/>
        <n v="12662"/>
        <n v="25120"/>
        <n v="20114"/>
        <n v="23943"/>
        <n v="6822"/>
        <n v="14784"/>
        <n v="21096"/>
        <n v="19948"/>
        <n v="29030"/>
        <n v="23979"/>
        <n v="5788"/>
        <n v="23034"/>
        <n v="13980"/>
        <n v="11649"/>
        <n v="4362"/>
        <n v="9176"/>
        <n v="17164"/>
        <n v="25712"/>
        <n v="18308"/>
        <n v="8388"/>
        <n v="18302"/>
        <n v="22347"/>
        <n v="26994"/>
        <n v="15312"/>
        <n v="16601"/>
        <n v="16870"/>
        <n v="29536"/>
        <n v="21129"/>
        <n v="29574"/>
        <n v="14481"/>
        <n v="6856"/>
        <n v="5180"/>
        <n v="15704"/>
        <n v="10093"/>
        <n v="8721"/>
        <n v="8733"/>
        <n v="5303"/>
        <n v="10212"/>
        <n v="28787"/>
        <n v="11505"/>
        <n v="27690"/>
        <n v="3507"/>
        <n v="5029"/>
        <n v="3081"/>
        <n v="3479"/>
        <n v="1359"/>
        <n v="17080"/>
        <n v="20095"/>
        <n v="20521"/>
        <n v="18200"/>
        <n v="12016"/>
        <n v="16551"/>
        <n v="23644"/>
        <n v="20307"/>
        <n v="4205"/>
        <n v="1904"/>
        <n v="17199"/>
        <n v="7607"/>
        <n v="17461"/>
        <n v="1522"/>
        <n v="12012"/>
        <n v="29967"/>
        <n v="16659"/>
        <n v="12601"/>
        <n v="29369"/>
        <n v="27300"/>
        <n v="17212"/>
        <n v="19908"/>
        <n v="24642"/>
        <n v="3750"/>
        <n v="9490"/>
        <n v="11770"/>
        <n v="7595"/>
        <n v="3648"/>
        <n v="9746"/>
        <n v="3117"/>
        <n v="9128"/>
        <n v="10090"/>
        <n v="12829"/>
        <n v="23226"/>
        <n v="18124"/>
        <n v="2900"/>
        <n v="23415"/>
        <n v="1092"/>
        <n v="24149"/>
        <n v="11315"/>
        <n v="13061"/>
        <n v="5643"/>
        <n v="8586"/>
        <n v="7299"/>
        <n v="10863"/>
        <n v="8293"/>
        <n v="21434"/>
        <n v="5786"/>
        <n v="11726"/>
        <n v="18259"/>
        <n v="27722"/>
        <n v="13354"/>
        <n v="5181"/>
        <n v="6404"/>
        <n v="18103"/>
        <n v="16323"/>
        <n v="14232"/>
        <n v="18841"/>
        <n v="7497"/>
        <n v="24040"/>
        <n v="5756"/>
        <n v="11876"/>
        <n v="4886"/>
        <n v="17479"/>
        <n v="6277"/>
        <n v="12321"/>
        <n v="28467"/>
        <n v="7459"/>
        <n v="11224"/>
        <n v="10287"/>
        <n v="25401"/>
        <n v="28027"/>
        <n v="13875"/>
        <n v="6123"/>
        <n v="22932"/>
        <n v="21160"/>
        <n v="20548"/>
        <n v="27379"/>
        <n v="9861"/>
        <n v="24289"/>
        <n v="4413"/>
        <n v="6646"/>
        <n v="17496"/>
        <n v="25232"/>
        <n v="25737"/>
        <n v="22852"/>
        <n v="10408"/>
        <n v="23784"/>
        <n v="1095"/>
        <n v="10613"/>
        <n v="28715"/>
        <n v="17987"/>
        <n v="14843"/>
        <n v="4179"/>
        <n v="9960"/>
        <n v="20910"/>
        <n v="12045"/>
        <n v="17254"/>
        <n v="4737"/>
        <n v="10235"/>
        <n v="28485"/>
        <n v="6617"/>
        <n v="15970"/>
        <n v="10970"/>
        <n v="28514"/>
        <n v="14467"/>
        <n v="13077"/>
        <n v="2759"/>
        <n v="10698"/>
        <n v="29223"/>
        <n v="22015"/>
        <n v="7941"/>
        <n v="5876"/>
        <n v="6572"/>
        <n v="4071"/>
        <n v="8518"/>
        <n v="3256"/>
        <n v="9639"/>
        <n v="6706"/>
        <n v="2706"/>
        <n v="28063"/>
        <n v="10823"/>
        <n v="19691"/>
        <n v="20733"/>
        <n v="9122"/>
        <n v="18503"/>
        <n v="8022"/>
        <n v="28312"/>
        <n v="11431"/>
        <n v="13678"/>
        <n v="7815"/>
        <n v="7704"/>
        <n v="28843"/>
        <n v="6927"/>
        <n v="24865"/>
        <n v="2169"/>
        <n v="3579"/>
        <n v="19027"/>
        <n v="3521"/>
        <n v="12058"/>
        <n v="11199"/>
        <n v="5618"/>
        <n v="12180"/>
        <n v="7567"/>
        <n v="15301"/>
        <n v="15227"/>
        <n v="19681"/>
        <n v="14235"/>
        <n v="21393"/>
        <n v="19733"/>
        <n v="22870"/>
        <n v="13481"/>
        <n v="10032"/>
        <n v="12686"/>
        <n v="1973"/>
        <n v="14969"/>
        <n v="10325"/>
        <n v="15427"/>
        <n v="5908"/>
        <n v="20328"/>
        <n v="27682"/>
        <n v="9127"/>
        <n v="4107"/>
        <n v="18915"/>
        <n v="5766"/>
        <n v="5092"/>
        <n v="23746"/>
        <n v="24124"/>
        <n v="15015"/>
        <n v="17666"/>
        <n v="18473"/>
        <n v="29049"/>
        <n v="14627"/>
        <n v="5660"/>
        <n v="2166"/>
        <n v="11040"/>
        <n v="19315"/>
        <n v="18661"/>
        <n v="13226"/>
        <n v="27316"/>
        <n v="14469"/>
        <n v="14738"/>
        <n v="11410"/>
        <n v="7037"/>
        <n v="15141"/>
        <n v="20031"/>
        <n v="21185"/>
        <n v="13373"/>
        <n v="29936"/>
        <n v="11402"/>
        <n v="18189"/>
        <n v="26799"/>
        <n v="23211"/>
        <n v="7190"/>
        <n v="20473"/>
        <n v="8087"/>
        <n v="2578"/>
        <n v="29186"/>
        <n v="15171"/>
        <n v="22923"/>
        <n v="3161"/>
        <n v="7426"/>
        <n v="6942"/>
        <n v="11400"/>
        <n v="15258"/>
        <n v="6372"/>
        <n v="8476"/>
        <n v="15833"/>
        <n v="27665"/>
        <n v="24121"/>
        <n v="24687"/>
        <n v="7592"/>
        <n v="5122"/>
        <n v="13905"/>
        <n v="25297"/>
        <n v="13066"/>
        <n v="29445"/>
        <n v="9510"/>
        <n v="2827"/>
        <n v="25300"/>
        <n v="9005"/>
        <n v="4853"/>
        <n v="7554"/>
        <n v="20746"/>
        <n v="25220"/>
        <n v="28506"/>
        <n v="26290"/>
        <n v="3865"/>
        <n v="14707"/>
        <n v="29020"/>
        <n v="24157"/>
        <n v="8668"/>
        <n v="25311"/>
        <n v="1570"/>
        <n v="17402"/>
        <n v="15618"/>
        <n v="6817"/>
        <n v="17242"/>
        <n v="12520"/>
        <n v="14891"/>
        <n v="2314"/>
        <n v="28583"/>
        <n v="25783"/>
        <n v="27589"/>
        <n v="10581"/>
        <n v="23490"/>
        <n v="10966"/>
        <n v="9517"/>
        <n v="1827"/>
        <n v="27630"/>
        <n v="7522"/>
        <n v="17321"/>
        <n v="19800"/>
        <n v="9520"/>
        <n v="15328"/>
        <n v="29405"/>
        <n v="29570"/>
        <n v="28829"/>
        <n v="23128"/>
        <n v="20104"/>
        <n v="9430"/>
        <n v="13505"/>
        <n v="18692"/>
        <n v="16824"/>
        <n v="13362"/>
        <n v="2524"/>
        <n v="7953"/>
        <n v="17153"/>
        <n v="24378"/>
        <n v="4695"/>
        <n v="2814"/>
        <n v="9973"/>
        <n v="12783"/>
        <n v="13896"/>
        <n v="10088"/>
        <n v="10157"/>
        <n v="20670"/>
        <n v="18543"/>
        <n v="21256"/>
        <n v="13097"/>
        <n v="23633"/>
        <n v="4303"/>
        <n v="6383"/>
        <n v="1316"/>
        <n v="2598"/>
        <n v="12191"/>
        <n v="13263"/>
        <n v="10078"/>
        <n v="28139"/>
        <n v="13585"/>
        <n v="6323"/>
        <n v="29449"/>
        <n v="26905"/>
        <n v="20654"/>
        <n v="22925"/>
        <n v="2683"/>
        <n v="5194"/>
        <n v="29980"/>
        <n v="8785"/>
        <n v="29684"/>
        <n v="28773"/>
        <n v="13995"/>
        <n v="27345"/>
        <n v="2812"/>
        <n v="18392"/>
        <n v="1790"/>
        <n v="14160"/>
        <n v="1749"/>
        <n v="29687"/>
        <n v="4904"/>
        <n v="9745"/>
        <n v="24778"/>
        <n v="24702"/>
        <n v="16345"/>
        <n v="11286"/>
        <n v="5301"/>
        <n v="25111"/>
        <n v="9611"/>
        <n v="2781"/>
        <n v="2460"/>
        <n v="17575"/>
        <n v="9550"/>
        <n v="18027"/>
        <n v="28544"/>
        <n v="27156"/>
        <n v="26007"/>
        <n v="6747"/>
        <n v="8936"/>
        <n v="24083"/>
        <n v="10785"/>
        <n v="3480"/>
        <n v="12589"/>
        <n v="9414"/>
        <n v="4429"/>
        <n v="22262"/>
        <n v="11183"/>
        <n v="17847"/>
        <n v="11101"/>
        <n v="22583"/>
        <n v="22793"/>
        <n v="12654"/>
        <n v="26488"/>
        <n v="8625"/>
        <n v="27527"/>
        <n v="26268"/>
        <n v="3225"/>
        <n v="1638"/>
        <n v="15611"/>
        <n v="14439"/>
        <n v="15410"/>
        <n v="15429"/>
        <n v="21652"/>
        <n v="5861"/>
        <n v="16546"/>
        <n v="14569"/>
        <n v="24517"/>
        <n v="27706"/>
        <n v="18456"/>
        <n v="8443"/>
        <n v="25916"/>
        <n v="28393"/>
        <n v="2928"/>
        <n v="27832"/>
        <n v="3384"/>
        <n v="7369"/>
        <n v="26800"/>
        <n v="29353"/>
        <n v="25751"/>
        <n v="28957"/>
        <n v="6489"/>
        <n v="13337"/>
        <n v="12182"/>
        <n v="22833"/>
        <n v="16184"/>
        <n v="26587"/>
        <n v="16049"/>
        <n v="21762"/>
        <n v="29504"/>
        <n v="1888"/>
        <n v="3020"/>
        <n v="24596"/>
        <n v="28332"/>
        <n v="6073"/>
        <n v="11924"/>
        <n v="21604"/>
        <n v="24925"/>
        <n v="9608"/>
        <n v="16144"/>
        <n v="8528"/>
        <n v="18667"/>
        <n v="4382"/>
        <n v="15839"/>
        <n v="10813"/>
        <n v="22911"/>
        <n v="25966"/>
        <n v="16806"/>
        <n v="7103"/>
        <n v="17358"/>
        <n v="2966"/>
        <n v="6938"/>
        <n v="13139"/>
        <n v="6763"/>
        <n v="16703"/>
        <n v="13366"/>
        <n v="3298"/>
        <n v="1012"/>
        <n v="26541"/>
        <n v="9552"/>
        <n v="16473"/>
        <n v="28178"/>
        <n v="24944"/>
        <n v="14952"/>
        <n v="25007"/>
        <n v="11413"/>
        <n v="8855"/>
        <n v="16914"/>
        <n v="20380"/>
        <n v="16156"/>
        <n v="16722"/>
        <n v="18288"/>
        <n v="11530"/>
        <n v="14009"/>
        <n v="11790"/>
        <n v="3511"/>
        <n v="15085"/>
        <n v="3234"/>
        <n v="7712"/>
        <n v="1487"/>
        <n v="5498"/>
        <n v="21447"/>
        <n v="4665"/>
        <n v="6980"/>
        <n v="27038"/>
        <n v="29464"/>
        <n v="21331"/>
        <n v="2227"/>
        <n v="19588"/>
        <n v="25204"/>
        <n v="15418"/>
        <n v="14845"/>
        <n v="9303"/>
        <n v="3498"/>
        <n v="21884"/>
        <n v="7052"/>
        <n v="9313"/>
        <n v="6105"/>
        <n v="25443"/>
        <n v="19124"/>
        <n v="8385"/>
        <n v="29575"/>
        <n v="4333"/>
        <n v="28991"/>
        <n v="26557"/>
        <n v="13932"/>
        <n v="24276"/>
        <n v="8008"/>
        <n v="23867"/>
        <n v="26072"/>
      </sharedItems>
    </cacheField>
    <cacheField name="Sales" numFmtId="0">
      <sharedItems containsSemiMixedTypes="0" containsString="0" containsNumber="1" containsInteger="1" minValue="1092" maxValue="290490" count="992">
        <n v="231490"/>
        <n v="8679"/>
        <n v="88060"/>
        <n v="65868"/>
        <n v="43885"/>
        <n v="71795"/>
        <n v="138033"/>
        <n v="113080"/>
        <n v="119044"/>
        <n v="22002"/>
        <n v="140553"/>
        <n v="41944"/>
        <n v="26945"/>
        <n v="192888"/>
        <n v="116795"/>
        <n v="69930"/>
        <n v="5901"/>
        <n v="261909"/>
        <n v="189945"/>
        <n v="137396"/>
        <n v="198490"/>
        <n v="81676"/>
        <n v="17697"/>
        <n v="4332"/>
        <n v="44970"/>
        <n v="149058"/>
        <n v="87264"/>
        <n v="22894"/>
        <n v="27344"/>
        <n v="77064"/>
        <n v="244989"/>
        <n v="20073"/>
        <n v="74508"/>
        <n v="118432"/>
        <n v="14311"/>
        <n v="137176"/>
        <n v="52546"/>
        <n v="76580"/>
        <n v="124016"/>
        <n v="14039"/>
        <n v="135155"/>
        <n v="24563"/>
        <n v="216336"/>
        <n v="86360"/>
        <n v="28731"/>
        <n v="23294"/>
        <n v="107298"/>
        <n v="40191"/>
        <n v="16794"/>
        <n v="83139"/>
        <n v="71196"/>
        <n v="94500"/>
        <n v="59272"/>
        <n v="183294"/>
        <n v="34885"/>
        <n v="97746"/>
        <n v="108462"/>
        <n v="148070"/>
        <n v="148337"/>
        <n v="108792"/>
        <n v="76475"/>
        <n v="26156"/>
        <n v="259640"/>
        <n v="14760"/>
        <n v="119220"/>
        <n v="10245"/>
        <n v="31374"/>
        <n v="52822"/>
        <n v="16508"/>
        <n v="133101"/>
        <n v="115240"/>
        <n v="18570"/>
        <n v="10544"/>
        <n v="30390"/>
        <n v="28892"/>
        <n v="34044"/>
        <n v="54810"/>
        <n v="239571"/>
        <n v="121410"/>
        <n v="98161"/>
        <n v="71298"/>
        <n v="90380"/>
        <n v="7291"/>
        <n v="9783"/>
        <n v="217782"/>
        <n v="50943"/>
        <n v="90064"/>
        <n v="173874"/>
        <n v="121597"/>
        <n v="81272"/>
        <n v="216640"/>
        <n v="16570"/>
        <n v="23272"/>
        <n v="42192"/>
        <n v="41674"/>
        <n v="138236"/>
        <n v="30786"/>
        <n v="109604"/>
        <n v="28700"/>
        <n v="12408"/>
        <n v="31920"/>
        <n v="168340"/>
        <n v="134752"/>
        <n v="33660"/>
        <n v="30774"/>
        <n v="221696"/>
        <n v="10755"/>
        <n v="254889"/>
        <n v="11800"/>
        <n v="32598"/>
        <n v="38824"/>
        <n v="136554"/>
        <n v="193704"/>
        <n v="174660"/>
        <n v="117296"/>
        <n v="47394"/>
        <n v="24154"/>
        <n v="51520"/>
        <n v="186740"/>
        <n v="57184"/>
        <n v="70640"/>
        <n v="127074"/>
        <n v="43932"/>
        <n v="57562"/>
        <n v="116428"/>
        <n v="28975"/>
        <n v="237056"/>
        <n v="80136"/>
        <n v="126440"/>
        <n v="24945"/>
        <n v="50577"/>
        <n v="30574"/>
        <n v="11679"/>
        <n v="6178"/>
        <n v="114312"/>
        <n v="99740"/>
        <n v="19668"/>
        <n v="151260"/>
        <n v="100760"/>
        <n v="29152"/>
        <n v="24470"/>
        <n v="55914"/>
        <n v="233541"/>
        <n v="12594"/>
        <n v="169626"/>
        <n v="158816"/>
        <n v="62226"/>
        <n v="176155"/>
        <n v="25782"/>
        <n v="220779"/>
        <n v="102852"/>
        <n v="27188"/>
        <n v="13575"/>
        <n v="38192"/>
        <n v="85446"/>
        <n v="101864"/>
        <n v="9071"/>
        <n v="203749"/>
        <n v="8832"/>
        <n v="66372"/>
        <n v="168208"/>
        <n v="98328"/>
        <n v="2926"/>
        <n v="68307"/>
        <n v="128040"/>
        <n v="58380"/>
        <n v="64461"/>
        <n v="50946"/>
        <n v="7418"/>
        <n v="184368"/>
        <n v="47456"/>
        <n v="106687"/>
        <n v="100996"/>
        <n v="209230"/>
        <n v="50410"/>
        <n v="146340"/>
        <n v="19449"/>
        <n v="109310"/>
        <n v="47712"/>
        <n v="11854"/>
        <n v="56328"/>
        <n v="38024"/>
        <n v="123654"/>
        <n v="105090"/>
        <n v="82635"/>
        <n v="62190"/>
        <n v="21124"/>
        <n v="167643"/>
        <n v="14114"/>
        <n v="111438"/>
        <n v="17650"/>
        <n v="153198"/>
        <n v="118210"/>
        <n v="70950"/>
        <n v="14989"/>
        <n v="55929"/>
        <n v="14377"/>
        <n v="5155"/>
        <n v="39454"/>
        <n v="179928"/>
        <n v="23605"/>
        <n v="139620"/>
        <n v="57470"/>
        <n v="64218"/>
        <n v="251775"/>
        <n v="125150"/>
        <n v="144584"/>
        <n v="58172"/>
        <n v="67830"/>
        <n v="10760"/>
        <n v="54766"/>
        <n v="16579"/>
        <n v="182600"/>
        <n v="67665"/>
        <n v="14578"/>
        <n v="98925"/>
        <n v="26604"/>
        <n v="31082"/>
        <n v="225648"/>
        <n v="22584"/>
        <n v="56934"/>
        <n v="56892"/>
        <n v="37784"/>
        <n v="7114"/>
        <n v="215808"/>
        <n v="9455"/>
        <n v="82317"/>
        <n v="136560"/>
        <n v="101860"/>
        <n v="70520"/>
        <n v="107541"/>
        <n v="41780"/>
        <n v="234765"/>
        <n v="22716"/>
        <n v="125946"/>
        <n v="36500"/>
        <n v="95347"/>
        <n v="67959"/>
        <n v="157518"/>
        <n v="36635"/>
        <n v="103005"/>
        <n v="242150"/>
        <n v="2282"/>
        <n v="129876"/>
        <n v="15030"/>
        <n v="122435"/>
        <n v="22221"/>
        <n v="95076"/>
        <n v="19350"/>
        <n v="45894"/>
        <n v="54800"/>
        <n v="1484"/>
        <n v="187208"/>
        <n v="55558"/>
        <n v="5445"/>
        <n v="14083"/>
        <n v="25388"/>
        <n v="26102"/>
        <n v="159744"/>
        <n v="23419"/>
        <n v="149200"/>
        <n v="65010"/>
        <n v="36687"/>
        <n v="49696"/>
        <n v="50195"/>
        <n v="9053"/>
        <n v="11670"/>
        <n v="1506"/>
        <n v="102550"/>
        <n v="113064"/>
        <n v="106976"/>
        <n v="56788"/>
        <n v="19513"/>
        <n v="66015"/>
        <n v="157488"/>
        <n v="115880"/>
        <n v="1226"/>
        <n v="93475"/>
        <n v="115845"/>
        <n v="25285"/>
        <n v="227040"/>
        <n v="106866"/>
        <n v="16084"/>
        <n v="45410"/>
        <n v="12455"/>
        <n v="43477"/>
        <n v="51087"/>
        <n v="86754"/>
        <n v="21330"/>
        <n v="132240"/>
        <n v="36243"/>
        <n v="107096"/>
        <n v="129073"/>
        <n v="121842"/>
        <n v="60762"/>
        <n v="72795"/>
        <n v="77525"/>
        <n v="141225"/>
        <n v="59710"/>
        <n v="80310"/>
        <n v="175248"/>
        <n v="74139"/>
        <n v="253701"/>
        <n v="55105"/>
        <n v="14715"/>
        <n v="77996"/>
        <n v="86334"/>
        <n v="91002"/>
        <n v="155368"/>
        <n v="72801"/>
        <n v="12234"/>
        <n v="115800"/>
        <n v="48370"/>
        <n v="44730"/>
        <n v="47080"/>
        <n v="163450"/>
        <n v="137604"/>
        <n v="87940"/>
        <n v="132265"/>
        <n v="36504"/>
        <n v="197262"/>
        <n v="26076"/>
        <n v="104559"/>
        <n v="9000"/>
        <n v="74763"/>
        <n v="202671"/>
        <n v="17628"/>
        <n v="118585"/>
        <n v="21022"/>
        <n v="42442"/>
        <n v="79644"/>
        <n v="173024"/>
        <n v="146664"/>
        <n v="17713"/>
        <n v="198230"/>
        <n v="148554"/>
        <n v="196730"/>
        <n v="214326"/>
        <n v="124360"/>
        <n v="86310"/>
        <n v="176540"/>
        <n v="34088"/>
        <n v="283240"/>
        <n v="175250"/>
        <n v="104568"/>
        <n v="186110"/>
        <n v="167952"/>
        <n v="133745"/>
        <n v="95808"/>
        <n v="82170"/>
        <n v="135642"/>
        <n v="70567"/>
        <n v="216310"/>
        <n v="22208"/>
        <n v="12292"/>
        <n v="4896"/>
        <n v="54081"/>
        <n v="250182"/>
        <n v="132372"/>
        <n v="120952"/>
        <n v="172550"/>
        <n v="78780"/>
        <n v="166914"/>
        <n v="51987"/>
        <n v="59112"/>
        <n v="198918"/>
        <n v="154062"/>
        <n v="34540"/>
        <n v="44140"/>
        <n v="70344"/>
        <n v="10562"/>
        <n v="58562"/>
        <n v="85876"/>
        <n v="211203"/>
        <n v="154776"/>
        <n v="151328"/>
        <n v="87936"/>
        <n v="17172"/>
        <n v="163212"/>
        <n v="110999"/>
        <n v="20245"/>
        <n v="90600"/>
        <n v="52593"/>
        <n v="25476"/>
        <n v="46168"/>
        <n v="14841"/>
        <n v="206928"/>
        <n v="85556"/>
        <n v="50068"/>
        <n v="105495"/>
        <n v="223120"/>
        <n v="7945"/>
        <n v="29941"/>
        <n v="226420"/>
        <n v="26556"/>
        <n v="9206"/>
        <n v="105205"/>
        <n v="106830"/>
        <n v="99328"/>
        <n v="108668"/>
        <n v="87275"/>
        <n v="12950"/>
        <n v="204480"/>
        <n v="143136"/>
        <n v="206145"/>
        <n v="38785"/>
        <n v="21338"/>
        <n v="21378"/>
        <n v="9593"/>
        <n v="28040"/>
        <n v="27468"/>
        <n v="28686"/>
        <n v="138312"/>
        <n v="98721"/>
        <n v="130270"/>
        <n v="39256"/>
        <n v="123732"/>
        <n v="114201"/>
        <n v="44892"/>
        <n v="277620"/>
        <n v="180320"/>
        <n v="98416"/>
        <n v="106330"/>
        <n v="139734"/>
        <n v="24416"/>
        <n v="48304"/>
        <n v="99408"/>
        <n v="56448"/>
        <n v="137886"/>
        <n v="132408"/>
        <n v="61545"/>
        <n v="44562"/>
        <n v="13460"/>
        <n v="100728"/>
        <n v="19832"/>
        <n v="98200"/>
        <n v="80880"/>
        <n v="233272"/>
        <n v="73128"/>
        <n v="7908"/>
        <n v="87912"/>
        <n v="153760"/>
        <n v="124488"/>
        <n v="47700"/>
        <n v="162200"/>
        <n v="101935"/>
        <n v="21768"/>
        <n v="110663"/>
        <n v="207264"/>
        <n v="18330"/>
        <n v="12713"/>
        <n v="205324"/>
        <n v="155408"/>
        <n v="73297"/>
        <n v="90835"/>
        <n v="79080"/>
        <n v="39434"/>
        <n v="31558"/>
        <n v="260055"/>
        <n v="235568"/>
        <n v="12326"/>
        <n v="62070"/>
        <n v="28992"/>
        <n v="97510"/>
        <n v="42084"/>
        <n v="12181"/>
        <n v="160608"/>
        <n v="162368"/>
        <n v="19995"/>
        <n v="56314"/>
        <n v="42518"/>
        <n v="28821"/>
        <n v="68005"/>
        <n v="59670"/>
        <n v="8288"/>
        <n v="186632"/>
        <n v="96255"/>
        <n v="113958"/>
        <n v="175840"/>
        <n v="60342"/>
        <n v="71829"/>
        <n v="20466"/>
        <n v="133056"/>
        <n v="84384"/>
        <n v="119688"/>
        <n v="116120"/>
        <n v="239790"/>
        <n v="23152"/>
        <n v="184272"/>
        <n v="111840"/>
        <n v="81543"/>
        <n v="39258"/>
        <n v="55056"/>
        <n v="17164"/>
        <n v="231408"/>
        <n v="18308"/>
        <n v="75492"/>
        <n v="18302"/>
        <n v="156429"/>
        <n v="161964"/>
        <n v="61248"/>
        <n v="149409"/>
        <n v="134960"/>
        <n v="68176"/>
        <n v="88608"/>
        <n v="211290"/>
        <n v="29574"/>
        <n v="28962"/>
        <n v="27424"/>
        <n v="10360"/>
        <n v="78520"/>
        <n v="60558"/>
        <n v="61047"/>
        <n v="78597"/>
        <n v="5303"/>
        <n v="91908"/>
        <n v="115148"/>
        <n v="23010"/>
        <n v="276900"/>
        <n v="28056"/>
        <n v="35203"/>
        <n v="12324"/>
        <n v="31311"/>
        <n v="13590"/>
        <n v="102480"/>
        <n v="180855"/>
        <n v="61563"/>
        <n v="163800"/>
        <n v="60080"/>
        <n v="33102"/>
        <n v="141864"/>
        <n v="20307"/>
        <n v="21025"/>
        <n v="19040"/>
        <n v="120393"/>
        <n v="53249"/>
        <n v="34922"/>
        <n v="10654"/>
        <n v="96096"/>
        <n v="209769"/>
        <n v="66636"/>
        <n v="50404"/>
        <n v="264321"/>
        <n v="191100"/>
        <n v="103272"/>
        <n v="139356"/>
        <n v="221778"/>
        <n v="11250"/>
        <n v="28470"/>
        <n v="82390"/>
        <n v="68355"/>
        <n v="25536"/>
        <n v="9746"/>
        <n v="24936"/>
        <n v="45640"/>
        <n v="60540"/>
        <n v="128290"/>
        <n v="185808"/>
        <n v="144992"/>
        <n v="17400"/>
        <n v="70245"/>
        <n v="1092"/>
        <n v="72447"/>
        <n v="113150"/>
        <n v="52244"/>
        <n v="39501"/>
        <n v="8586"/>
        <n v="58392"/>
        <n v="43452"/>
        <n v="33172"/>
        <n v="128604"/>
        <n v="28930"/>
        <n v="105534"/>
        <n v="182590"/>
        <n v="166332"/>
        <n v="13354"/>
        <n v="41448"/>
        <n v="64040"/>
        <n v="36206"/>
        <n v="97938"/>
        <n v="71160"/>
        <n v="150728"/>
        <n v="7497"/>
        <n v="72120"/>
        <n v="17268"/>
        <n v="95008"/>
        <n v="4886"/>
        <n v="52437"/>
        <n v="43939"/>
        <n v="12321"/>
        <n v="284670"/>
        <n v="37295"/>
        <n v="67344"/>
        <n v="92583"/>
        <n v="203208"/>
        <n v="28027"/>
        <n v="41625"/>
        <n v="30615"/>
        <n v="183456"/>
        <n v="84640"/>
        <n v="20548"/>
        <n v="136895"/>
        <n v="19722"/>
        <n v="48578"/>
        <n v="30891"/>
        <n v="26584"/>
        <n v="174960"/>
        <n v="151392"/>
        <n v="25737"/>
        <n v="194652"/>
        <n v="159964"/>
        <n v="83264"/>
        <n v="71352"/>
        <n v="4380"/>
        <n v="84904"/>
        <n v="114860"/>
        <n v="53961"/>
        <n v="44529"/>
        <n v="37611"/>
        <n v="59760"/>
        <n v="62730"/>
        <n v="60225"/>
        <n v="86270"/>
        <n v="28422"/>
        <n v="92115"/>
        <n v="284850"/>
        <n v="39702"/>
        <n v="31940"/>
        <n v="54850"/>
        <n v="171084"/>
        <n v="101269"/>
        <n v="13077"/>
        <n v="16554"/>
        <n v="21396"/>
        <n v="233784"/>
        <n v="15882"/>
        <n v="19716"/>
        <n v="36639"/>
        <n v="51108"/>
        <n v="6512"/>
        <n v="48195"/>
        <n v="53648"/>
        <n v="21648"/>
        <n v="224504"/>
        <n v="86584"/>
        <n v="177219"/>
        <n v="82932"/>
        <n v="226168"/>
        <n v="91220"/>
        <n v="148024"/>
        <n v="8022"/>
        <n v="113248"/>
        <n v="102879"/>
        <n v="13678"/>
        <n v="39075"/>
        <n v="30816"/>
        <n v="86529"/>
        <n v="48489"/>
        <n v="24865"/>
        <n v="19521"/>
        <n v="35790"/>
        <n v="95135"/>
        <n v="31689"/>
        <n v="60290"/>
        <n v="33597"/>
        <n v="22472"/>
        <n v="36540"/>
        <n v="7567"/>
        <n v="61204"/>
        <n v="106589"/>
        <n v="157448"/>
        <n v="56940"/>
        <n v="128358"/>
        <n v="19733"/>
        <n v="160090"/>
        <n v="40443"/>
        <n v="30096"/>
        <n v="126860"/>
        <n v="17757"/>
        <n v="44907"/>
        <n v="51636"/>
        <n v="20650"/>
        <n v="15427"/>
        <n v="5908"/>
        <n v="142296"/>
        <n v="83046"/>
        <n v="54762"/>
        <n v="113490"/>
        <n v="17298"/>
        <n v="35644"/>
        <n v="94984"/>
        <n v="168868"/>
        <n v="30030"/>
        <n v="105996"/>
        <n v="166257"/>
        <n v="290490"/>
        <n v="131643"/>
        <n v="22640"/>
        <n v="8664"/>
        <n v="99360"/>
        <n v="193150"/>
        <n v="130627"/>
        <n v="132260"/>
        <n v="218528"/>
        <n v="115752"/>
        <n v="29476"/>
        <n v="22820"/>
        <n v="28148"/>
        <n v="151410"/>
        <n v="100155"/>
        <n v="211850"/>
        <n v="26746"/>
        <n v="179616"/>
        <n v="11402"/>
        <n v="72756"/>
        <n v="214392"/>
        <n v="208899"/>
        <n v="189856"/>
        <n v="28760"/>
        <n v="204730"/>
        <n v="64696"/>
        <n v="10312"/>
        <n v="58372"/>
        <n v="106197"/>
        <n v="229230"/>
        <n v="28449"/>
        <n v="59408"/>
        <n v="48594"/>
        <n v="91200"/>
        <n v="15258"/>
        <n v="38232"/>
        <n v="42380"/>
        <n v="79165"/>
        <n v="55330"/>
        <n v="72363"/>
        <n v="24687"/>
        <n v="63297"/>
        <n v="30368"/>
        <n v="30732"/>
        <n v="139050"/>
        <n v="227673"/>
        <n v="78396"/>
        <n v="58890"/>
        <n v="28530"/>
        <n v="46506"/>
        <n v="2827"/>
        <n v="25300"/>
        <n v="54030"/>
        <n v="52878"/>
        <n v="41492"/>
        <n v="50440"/>
        <n v="57012"/>
        <n v="78870"/>
        <n v="30920"/>
        <n v="147070"/>
        <n v="58040"/>
        <n v="24157"/>
        <n v="52008"/>
        <n v="37300"/>
        <n v="151866"/>
        <n v="7850"/>
        <n v="52206"/>
        <n v="140562"/>
        <n v="6817"/>
        <n v="34484"/>
        <n v="12520"/>
        <n v="148910"/>
        <n v="9256"/>
        <n v="85749"/>
        <n v="128915"/>
        <n v="137945"/>
        <n v="105810"/>
        <n v="70470"/>
        <n v="76762"/>
        <n v="9517"/>
        <n v="12789"/>
        <n v="82890"/>
        <n v="45132"/>
        <n v="155889"/>
        <n v="59400"/>
        <n v="95200"/>
        <n v="15328"/>
        <n v="58810"/>
        <n v="206990"/>
        <n v="115316"/>
        <n v="208152"/>
        <n v="180936"/>
        <n v="47150"/>
        <n v="40515"/>
        <n v="149536"/>
        <n v="117768"/>
        <n v="106896"/>
        <n v="2524"/>
        <n v="15906"/>
        <n v="51459"/>
        <n v="121890"/>
        <n v="14085"/>
        <n v="2814"/>
        <n v="99730"/>
        <n v="76698"/>
        <n v="13896"/>
        <n v="40352"/>
        <n v="91413"/>
        <n v="124020"/>
        <n v="111258"/>
        <n v="21256"/>
        <n v="104776"/>
        <n v="236330"/>
        <n v="12909"/>
        <n v="44681"/>
        <n v="1316"/>
        <n v="25980"/>
        <n v="60285"/>
        <n v="85337"/>
        <n v="26526"/>
        <n v="70546"/>
        <n v="225112"/>
        <n v="135850"/>
        <n v="63230"/>
        <n v="117796"/>
        <n v="26905"/>
        <n v="123924"/>
        <n v="229250"/>
        <n v="26830"/>
        <n v="10388"/>
        <n v="119920"/>
        <n v="87850"/>
        <n v="267156"/>
        <n v="57546"/>
        <n v="97965"/>
        <n v="136725"/>
        <n v="16872"/>
        <n v="110352"/>
        <n v="10740"/>
        <n v="99120"/>
        <n v="5247"/>
        <n v="267183"/>
        <n v="29424"/>
        <n v="19490"/>
        <n v="173446"/>
        <n v="148212"/>
        <n v="32690"/>
        <n v="56430"/>
        <n v="53010"/>
        <n v="75333"/>
        <n v="9611"/>
        <n v="27810"/>
        <n v="140600"/>
        <n v="57300"/>
        <n v="126189"/>
        <n v="57088"/>
        <n v="22856"/>
        <n v="271560"/>
        <n v="130035"/>
        <n v="23226"/>
        <n v="60723"/>
        <n v="8936"/>
        <n v="144498"/>
        <n v="86280"/>
        <n v="27840"/>
        <n v="25178"/>
        <n v="75312"/>
        <n v="22145"/>
        <n v="66786"/>
        <n v="89464"/>
        <n v="124929"/>
        <n v="22202"/>
        <n v="112915"/>
        <n v="45586"/>
        <n v="37962"/>
        <n v="79464"/>
        <n v="51750"/>
        <n v="275270"/>
        <n v="52536"/>
        <n v="6450"/>
        <n v="14742"/>
        <n v="124888"/>
        <n v="57756"/>
        <n v="92460"/>
        <n v="154290"/>
        <n v="151564"/>
        <n v="41027"/>
        <n v="148914"/>
        <n v="58276"/>
        <n v="147102"/>
        <n v="193942"/>
        <n v="184560"/>
        <n v="75987"/>
        <n v="129580"/>
        <n v="113572"/>
        <n v="29280"/>
        <n v="222656"/>
        <n v="27072"/>
        <n v="73690"/>
        <n v="26800"/>
        <n v="176118"/>
        <n v="25751"/>
        <n v="173742"/>
        <n v="6489"/>
        <n v="133370"/>
        <n v="85274"/>
        <n v="91332"/>
        <n v="113288"/>
        <n v="186109"/>
        <n v="16049"/>
        <n v="217620"/>
        <n v="118016"/>
        <n v="11328"/>
        <n v="27180"/>
        <n v="73788"/>
        <n v="254988"/>
        <n v="12146"/>
        <n v="71544"/>
        <n v="43208"/>
        <n v="149550"/>
        <n v="76864"/>
        <n v="129152"/>
        <n v="68224"/>
        <n v="168003"/>
        <n v="21910"/>
        <n v="15839"/>
        <n v="54065"/>
        <n v="206199"/>
        <n v="155796"/>
        <n v="84030"/>
        <n v="49721"/>
        <n v="17358"/>
        <n v="23728"/>
        <n v="20814"/>
        <n v="166674"/>
        <n v="118251"/>
        <n v="47341"/>
        <n v="66812"/>
        <n v="13366"/>
        <n v="9894"/>
        <n v="147105"/>
        <n v="5060"/>
        <n v="53082"/>
        <n v="66864"/>
        <n v="65892"/>
        <n v="112712"/>
        <n v="124720"/>
        <n v="119616"/>
        <n v="50014"/>
        <n v="34239"/>
        <n v="88550"/>
        <n v="50742"/>
        <n v="61140"/>
        <n v="145404"/>
        <n v="16722"/>
        <n v="91440"/>
        <n v="23060"/>
        <n v="70045"/>
        <n v="47160"/>
        <n v="14044"/>
        <n v="45255"/>
        <n v="12936"/>
        <n v="61696"/>
        <n v="5948"/>
        <n v="10996"/>
        <n v="85788"/>
        <n v="13995"/>
        <n v="55840"/>
        <n v="243342"/>
        <n v="93114"/>
        <n v="58928"/>
        <n v="85324"/>
        <n v="6681"/>
        <n v="195880"/>
        <n v="151224"/>
        <n v="154180"/>
        <n v="206008"/>
        <n v="16703"/>
        <n v="14845"/>
        <n v="55818"/>
        <n v="3498"/>
        <n v="109420"/>
        <n v="49364"/>
        <n v="46565"/>
        <n v="42735"/>
        <n v="127215"/>
        <n v="152992"/>
        <n v="67080"/>
        <n v="207025"/>
        <n v="43330"/>
        <n v="115964"/>
        <n v="106228"/>
        <n v="111456"/>
        <n v="242760"/>
        <n v="32032"/>
        <n v="238670"/>
        <n v="208576"/>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20.801042476851" createdVersion="8" refreshedVersion="8" minRefreshableVersion="3" recordCount="10" xr:uid="{F0CFAE6B-5CC7-421D-84B1-8CDB2D8C9B30}">
  <cacheSource type="worksheet">
    <worksheetSource name="DASHBOARD_TABLE"/>
  </cacheSource>
  <cacheFields count="13">
    <cacheField name="Emp ID" numFmtId="0">
      <sharedItems count="10">
        <s v="E101"/>
        <s v="E102"/>
        <s v="E103"/>
        <s v="E104"/>
        <s v="E105"/>
        <s v="E106"/>
        <s v="E107"/>
        <s v="E108"/>
        <s v="E109"/>
        <s v="E110"/>
      </sharedItems>
    </cacheField>
    <cacheField name="Name" numFmtId="0">
      <sharedItems/>
    </cacheField>
    <cacheField name="Gender" numFmtId="0">
      <sharedItems count="2">
        <s v="Male"/>
        <s v="Female"/>
      </sharedItems>
    </cacheField>
    <cacheField name="Department" numFmtId="0">
      <sharedItems count="6">
        <s v="Finance"/>
        <s v="IT"/>
        <s v="HR"/>
        <s v="Marketing"/>
        <s v="Sales"/>
        <s v="Operations"/>
      </sharedItems>
    </cacheField>
    <cacheField name="Location" numFmtId="0">
      <sharedItems/>
    </cacheField>
    <cacheField name="Role" numFmtId="0">
      <sharedItems count="4">
        <s v="Analyst"/>
        <s v="Executive"/>
        <s v="Consultant"/>
        <s v="Manager"/>
      </sharedItems>
    </cacheField>
    <cacheField name="Experience (Years)" numFmtId="0">
      <sharedItems containsSemiMixedTypes="0" containsString="0" containsNumber="1" containsInteger="1" minValue="2" maxValue="11" count="10">
        <n v="7"/>
        <n v="3"/>
        <n v="10"/>
        <n v="5"/>
        <n v="8"/>
        <n v="4"/>
        <n v="9"/>
        <n v="6"/>
        <n v="2"/>
        <n v="11"/>
      </sharedItems>
    </cacheField>
    <cacheField name="Annual Salary " numFmtId="170">
      <sharedItems containsSemiMixedTypes="0" containsString="0" containsNumber="1" containsInteger="1" minValue="59000" maxValue="112000"/>
    </cacheField>
    <cacheField name="Target " numFmtId="170">
      <sharedItems containsSemiMixedTypes="0" containsString="0" containsNumber="1" containsInteger="1" minValue="90000" maxValue="200000"/>
    </cacheField>
    <cacheField name="Achieved" numFmtId="170">
      <sharedItems containsSemiMixedTypes="0" containsString="0" containsNumber="1" containsInteger="1" minValue="85000" maxValue="210000"/>
    </cacheField>
    <cacheField name="Achievement" numFmtId="10">
      <sharedItems containsSemiMixedTypes="0" containsString="0" containsNumber="1" minValue="0.8571428571428571" maxValue="1.1000000000000001"/>
    </cacheField>
    <cacheField name="Rank" numFmtId="0">
      <sharedItems containsSemiMixedTypes="0" containsString="0" containsNumber="1" containsInteger="1" minValue="1" maxValue="10"/>
    </cacheField>
    <cacheField name="Experience Group" numFmtId="170">
      <sharedItems count="3">
        <s v="Mid-Level"/>
        <s v="Junior"/>
        <s v="Senior"/>
      </sharedItems>
    </cacheField>
  </cacheFields>
  <extLst>
    <ext xmlns:x14="http://schemas.microsoft.com/office/spreadsheetml/2009/9/main" uri="{725AE2AE-9491-48be-B2B4-4EB974FC3084}">
      <x14:pivotCacheDefinition pivotCacheId="11688077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10"/>
    <x v="0"/>
    <x v="0"/>
  </r>
  <r>
    <x v="1"/>
    <x v="1"/>
    <x v="1"/>
    <x v="1"/>
    <n v="3"/>
    <x v="1"/>
    <x v="1"/>
  </r>
  <r>
    <x v="2"/>
    <x v="2"/>
    <x v="2"/>
    <x v="2"/>
    <n v="10"/>
    <x v="2"/>
    <x v="2"/>
  </r>
  <r>
    <x v="1"/>
    <x v="1"/>
    <x v="2"/>
    <x v="3"/>
    <n v="6"/>
    <x v="3"/>
    <x v="3"/>
  </r>
  <r>
    <x v="0"/>
    <x v="0"/>
    <x v="3"/>
    <x v="4"/>
    <n v="5"/>
    <x v="4"/>
    <x v="4"/>
  </r>
  <r>
    <x v="3"/>
    <x v="2"/>
    <x v="4"/>
    <x v="1"/>
    <n v="5"/>
    <x v="5"/>
    <x v="5"/>
  </r>
  <r>
    <x v="3"/>
    <x v="1"/>
    <x v="1"/>
    <x v="0"/>
    <s v="oi"/>
    <x v="6"/>
    <x v="6"/>
  </r>
  <r>
    <x v="3"/>
    <x v="1"/>
    <x v="2"/>
    <x v="5"/>
    <n v="8"/>
    <x v="7"/>
    <x v="7"/>
  </r>
  <r>
    <x v="4"/>
    <x v="2"/>
    <x v="3"/>
    <x v="1"/>
    <n v="4"/>
    <x v="8"/>
    <x v="8"/>
  </r>
  <r>
    <x v="1"/>
    <x v="1"/>
    <x v="0"/>
    <x v="0"/>
    <n v="6"/>
    <x v="9"/>
    <x v="9"/>
  </r>
  <r>
    <x v="2"/>
    <x v="2"/>
    <x v="0"/>
    <x v="3"/>
    <n v="7"/>
    <x v="10"/>
    <x v="10"/>
  </r>
  <r>
    <x v="0"/>
    <x v="0"/>
    <x v="1"/>
    <x v="4"/>
    <n v="4"/>
    <x v="11"/>
    <x v="11"/>
  </r>
  <r>
    <x v="1"/>
    <x v="0"/>
    <x v="3"/>
    <x v="2"/>
    <n v="5"/>
    <x v="12"/>
    <x v="12"/>
  </r>
  <r>
    <x v="0"/>
    <x v="2"/>
    <x v="2"/>
    <x v="0"/>
    <n v="8"/>
    <x v="13"/>
    <x v="13"/>
  </r>
  <r>
    <x v="1"/>
    <x v="0"/>
    <x v="4"/>
    <x v="2"/>
    <n v="5"/>
    <x v="14"/>
    <x v="14"/>
  </r>
  <r>
    <x v="1"/>
    <x v="0"/>
    <x v="0"/>
    <x v="2"/>
    <n v="6"/>
    <x v="15"/>
    <x v="15"/>
  </r>
  <r>
    <x v="4"/>
    <x v="2"/>
    <x v="4"/>
    <x v="0"/>
    <n v="3"/>
    <x v="16"/>
    <x v="16"/>
  </r>
  <r>
    <x v="0"/>
    <x v="2"/>
    <x v="0"/>
    <x v="5"/>
    <n v="9"/>
    <x v="17"/>
    <x v="17"/>
  </r>
  <r>
    <x v="3"/>
    <x v="1"/>
    <x v="0"/>
    <x v="3"/>
    <n v="9"/>
    <x v="18"/>
    <x v="18"/>
  </r>
  <r>
    <x v="1"/>
    <x v="3"/>
    <x v="4"/>
    <x v="4"/>
    <n v="7"/>
    <x v="19"/>
    <x v="19"/>
  </r>
  <r>
    <x v="1"/>
    <x v="1"/>
    <x v="2"/>
    <x v="2"/>
    <n v="10"/>
    <x v="20"/>
    <x v="20"/>
  </r>
  <r>
    <x v="2"/>
    <x v="3"/>
    <x v="1"/>
    <x v="3"/>
    <n v="7"/>
    <x v="21"/>
    <x v="21"/>
  </r>
  <r>
    <x v="3"/>
    <x v="0"/>
    <x v="3"/>
    <x v="3"/>
    <n v="1"/>
    <x v="22"/>
    <x v="22"/>
  </r>
  <r>
    <x v="3"/>
    <x v="0"/>
    <x v="0"/>
    <x v="4"/>
    <n v="4"/>
    <x v="23"/>
    <x v="23"/>
  </r>
  <r>
    <x v="0"/>
    <x v="2"/>
    <x v="3"/>
    <x v="1"/>
    <n v="5"/>
    <x v="24"/>
    <x v="24"/>
  </r>
  <r>
    <x v="0"/>
    <x v="0"/>
    <x v="1"/>
    <x v="2"/>
    <n v="7"/>
    <x v="25"/>
    <x v="25"/>
  </r>
  <r>
    <x v="4"/>
    <x v="3"/>
    <x v="3"/>
    <x v="3"/>
    <n v="3"/>
    <x v="26"/>
    <x v="26"/>
  </r>
  <r>
    <x v="3"/>
    <x v="2"/>
    <x v="4"/>
    <x v="3"/>
    <n v="2"/>
    <x v="27"/>
    <x v="27"/>
  </r>
  <r>
    <x v="0"/>
    <x v="0"/>
    <x v="2"/>
    <x v="4"/>
    <n v="8"/>
    <x v="28"/>
    <x v="28"/>
  </r>
  <r>
    <x v="1"/>
    <x v="0"/>
    <x v="1"/>
    <x v="2"/>
    <n v="8"/>
    <x v="29"/>
    <x v="29"/>
  </r>
  <r>
    <x v="0"/>
    <x v="2"/>
    <x v="4"/>
    <x v="2"/>
    <n v="9"/>
    <x v="30"/>
    <x v="30"/>
  </r>
  <r>
    <x v="1"/>
    <x v="0"/>
    <x v="3"/>
    <x v="3"/>
    <n v="1"/>
    <x v="31"/>
    <x v="31"/>
  </r>
  <r>
    <x v="4"/>
    <x v="0"/>
    <x v="3"/>
    <x v="4"/>
    <n v="6"/>
    <x v="32"/>
    <x v="32"/>
  </r>
  <r>
    <x v="4"/>
    <x v="2"/>
    <x v="0"/>
    <x v="2"/>
    <n v="8"/>
    <x v="33"/>
    <x v="33"/>
  </r>
  <r>
    <x v="4"/>
    <x v="2"/>
    <x v="1"/>
    <x v="1"/>
    <n v="1"/>
    <x v="34"/>
    <x v="34"/>
  </r>
  <r>
    <x v="0"/>
    <x v="1"/>
    <x v="1"/>
    <x v="5"/>
    <n v="8"/>
    <x v="35"/>
    <x v="35"/>
  </r>
  <r>
    <x v="3"/>
    <x v="2"/>
    <x v="1"/>
    <x v="5"/>
    <n v="2"/>
    <x v="36"/>
    <x v="36"/>
  </r>
  <r>
    <x v="1"/>
    <x v="3"/>
    <x v="3"/>
    <x v="1"/>
    <n v="10"/>
    <x v="37"/>
    <x v="37"/>
  </r>
  <r>
    <x v="2"/>
    <x v="1"/>
    <x v="3"/>
    <x v="3"/>
    <n v="8"/>
    <x v="38"/>
    <x v="38"/>
  </r>
  <r>
    <x v="1"/>
    <x v="3"/>
    <x v="0"/>
    <x v="2"/>
    <n v="1"/>
    <x v="39"/>
    <x v="39"/>
  </r>
  <r>
    <x v="1"/>
    <x v="3"/>
    <x v="4"/>
    <x v="0"/>
    <n v="5"/>
    <x v="40"/>
    <x v="40"/>
  </r>
  <r>
    <x v="0"/>
    <x v="2"/>
    <x v="2"/>
    <x v="5"/>
    <n v="1"/>
    <x v="41"/>
    <x v="41"/>
  </r>
  <r>
    <x v="2"/>
    <x v="1"/>
    <x v="3"/>
    <x v="2"/>
    <n v="8"/>
    <x v="42"/>
    <x v="42"/>
  </r>
  <r>
    <x v="1"/>
    <x v="0"/>
    <x v="0"/>
    <x v="3"/>
    <n v="8"/>
    <x v="43"/>
    <x v="43"/>
  </r>
  <r>
    <x v="2"/>
    <x v="0"/>
    <x v="3"/>
    <x v="2"/>
    <n v="3"/>
    <x v="44"/>
    <x v="44"/>
  </r>
  <r>
    <x v="2"/>
    <x v="0"/>
    <x v="0"/>
    <x v="3"/>
    <n v="1"/>
    <x v="45"/>
    <x v="45"/>
  </r>
  <r>
    <x v="2"/>
    <x v="0"/>
    <x v="1"/>
    <x v="0"/>
    <n v="9"/>
    <x v="46"/>
    <x v="46"/>
  </r>
  <r>
    <x v="3"/>
    <x v="2"/>
    <x v="4"/>
    <x v="3"/>
    <n v="3"/>
    <x v="47"/>
    <x v="47"/>
  </r>
  <r>
    <x v="3"/>
    <x v="2"/>
    <x v="3"/>
    <x v="1"/>
    <n v="3"/>
    <x v="48"/>
    <x v="48"/>
  </r>
  <r>
    <x v="0"/>
    <x v="2"/>
    <x v="1"/>
    <x v="4"/>
    <n v="7"/>
    <x v="49"/>
    <x v="49"/>
  </r>
  <r>
    <x v="3"/>
    <x v="3"/>
    <x v="4"/>
    <x v="3"/>
    <n v="3"/>
    <x v="50"/>
    <x v="50"/>
  </r>
  <r>
    <x v="1"/>
    <x v="3"/>
    <x v="2"/>
    <x v="3"/>
    <n v="6"/>
    <x v="51"/>
    <x v="51"/>
  </r>
  <r>
    <x v="4"/>
    <x v="2"/>
    <x v="3"/>
    <x v="5"/>
    <n v="4"/>
    <x v="52"/>
    <x v="52"/>
  </r>
  <r>
    <x v="1"/>
    <x v="0"/>
    <x v="2"/>
    <x v="5"/>
    <n v="9"/>
    <x v="53"/>
    <x v="53"/>
  </r>
  <r>
    <x v="4"/>
    <x v="3"/>
    <x v="0"/>
    <x v="5"/>
    <n v="5"/>
    <x v="54"/>
    <x v="54"/>
  </r>
  <r>
    <x v="1"/>
    <x v="0"/>
    <x v="3"/>
    <x v="1"/>
    <n v="6"/>
    <x v="55"/>
    <x v="55"/>
  </r>
  <r>
    <x v="2"/>
    <x v="3"/>
    <x v="2"/>
    <x v="1"/>
    <n v="6"/>
    <x v="56"/>
    <x v="56"/>
  </r>
  <r>
    <x v="0"/>
    <x v="1"/>
    <x v="0"/>
    <x v="5"/>
    <n v="5"/>
    <x v="57"/>
    <x v="57"/>
  </r>
  <r>
    <x v="0"/>
    <x v="2"/>
    <x v="1"/>
    <x v="0"/>
    <n v="7"/>
    <x v="58"/>
    <x v="58"/>
  </r>
  <r>
    <x v="4"/>
    <x v="3"/>
    <x v="2"/>
    <x v="5"/>
    <n v="8"/>
    <x v="59"/>
    <x v="59"/>
  </r>
  <r>
    <x v="1"/>
    <x v="3"/>
    <x v="1"/>
    <x v="1"/>
    <n v="7"/>
    <x v="60"/>
    <x v="60"/>
  </r>
  <r>
    <x v="0"/>
    <x v="1"/>
    <x v="4"/>
    <x v="3"/>
    <n v="2"/>
    <x v="61"/>
    <x v="61"/>
  </r>
  <r>
    <x v="4"/>
    <x v="3"/>
    <x v="2"/>
    <x v="5"/>
    <n v="10"/>
    <x v="62"/>
    <x v="62"/>
  </r>
  <r>
    <x v="3"/>
    <x v="0"/>
    <x v="0"/>
    <x v="2"/>
    <n v="9"/>
    <x v="63"/>
    <x v="63"/>
  </r>
  <r>
    <x v="2"/>
    <x v="3"/>
    <x v="3"/>
    <x v="0"/>
    <n v="10"/>
    <x v="46"/>
    <x v="64"/>
  </r>
  <r>
    <x v="3"/>
    <x v="2"/>
    <x v="0"/>
    <x v="4"/>
    <n v="3"/>
    <x v="64"/>
    <x v="65"/>
  </r>
  <r>
    <x v="4"/>
    <x v="3"/>
    <x v="0"/>
    <x v="1"/>
    <n v="2"/>
    <x v="65"/>
    <x v="66"/>
  </r>
  <r>
    <x v="0"/>
    <x v="2"/>
    <x v="3"/>
    <x v="5"/>
    <n v="7"/>
    <x v="66"/>
    <x v="67"/>
  </r>
  <r>
    <x v="4"/>
    <x v="2"/>
    <x v="0"/>
    <x v="2"/>
    <n v="4"/>
    <x v="67"/>
    <x v="68"/>
  </r>
  <r>
    <x v="3"/>
    <x v="0"/>
    <x v="2"/>
    <x v="2"/>
    <n v="9"/>
    <x v="68"/>
    <x v="69"/>
  </r>
  <r>
    <x v="0"/>
    <x v="0"/>
    <x v="3"/>
    <x v="4"/>
    <n v="4"/>
    <x v="69"/>
    <x v="70"/>
  </r>
  <r>
    <x v="0"/>
    <x v="2"/>
    <x v="1"/>
    <x v="4"/>
    <n v="10"/>
    <x v="70"/>
    <x v="71"/>
  </r>
  <r>
    <x v="3"/>
    <x v="1"/>
    <x v="3"/>
    <x v="0"/>
    <n v="1"/>
    <x v="71"/>
    <x v="72"/>
  </r>
  <r>
    <x v="4"/>
    <x v="1"/>
    <x v="3"/>
    <x v="0"/>
    <n v="10"/>
    <x v="72"/>
    <x v="73"/>
  </r>
  <r>
    <x v="4"/>
    <x v="1"/>
    <x v="1"/>
    <x v="0"/>
    <n v="1"/>
    <x v="73"/>
    <x v="74"/>
  </r>
  <r>
    <x v="2"/>
    <x v="1"/>
    <x v="0"/>
    <x v="1"/>
    <n v="4"/>
    <x v="74"/>
    <x v="75"/>
  </r>
  <r>
    <x v="1"/>
    <x v="3"/>
    <x v="1"/>
    <x v="4"/>
    <n v="7"/>
    <x v="75"/>
    <x v="76"/>
  </r>
  <r>
    <x v="3"/>
    <x v="0"/>
    <x v="0"/>
    <x v="2"/>
    <n v="9"/>
    <x v="76"/>
    <x v="77"/>
  </r>
  <r>
    <x v="3"/>
    <x v="2"/>
    <x v="0"/>
    <x v="4"/>
    <n v="5"/>
    <x v="77"/>
    <x v="78"/>
  </r>
  <r>
    <x v="4"/>
    <x v="3"/>
    <x v="2"/>
    <x v="0"/>
    <n v="7"/>
    <x v="78"/>
    <x v="79"/>
  </r>
  <r>
    <x v="2"/>
    <x v="2"/>
    <x v="0"/>
    <x v="1"/>
    <n v="3"/>
    <x v="79"/>
    <x v="80"/>
  </r>
  <r>
    <x v="4"/>
    <x v="3"/>
    <x v="1"/>
    <x v="4"/>
    <n v="10"/>
    <x v="80"/>
    <x v="81"/>
  </r>
  <r>
    <x v="4"/>
    <x v="0"/>
    <x v="2"/>
    <x v="1"/>
    <n v="1"/>
    <x v="81"/>
    <x v="82"/>
  </r>
  <r>
    <x v="1"/>
    <x v="1"/>
    <x v="4"/>
    <x v="2"/>
    <n v="9"/>
    <x v="82"/>
    <x v="83"/>
  </r>
  <r>
    <x v="3"/>
    <x v="1"/>
    <x v="4"/>
    <x v="4"/>
    <n v="9"/>
    <x v="83"/>
    <x v="84"/>
  </r>
  <r>
    <x v="4"/>
    <x v="0"/>
    <x v="2"/>
    <x v="5"/>
    <n v="3"/>
    <x v="84"/>
    <x v="85"/>
  </r>
  <r>
    <x v="2"/>
    <x v="3"/>
    <x v="3"/>
    <x v="2"/>
    <n v="8"/>
    <x v="85"/>
    <x v="86"/>
  </r>
  <r>
    <x v="0"/>
    <x v="0"/>
    <x v="1"/>
    <x v="4"/>
    <n v="6"/>
    <x v="86"/>
    <x v="87"/>
  </r>
  <r>
    <x v="1"/>
    <x v="3"/>
    <x v="1"/>
    <x v="5"/>
    <n v="7"/>
    <x v="87"/>
    <x v="88"/>
  </r>
  <r>
    <x v="2"/>
    <x v="1"/>
    <x v="1"/>
    <x v="3"/>
    <n v="4"/>
    <x v="88"/>
    <x v="89"/>
  </r>
  <r>
    <x v="3"/>
    <x v="1"/>
    <x v="4"/>
    <x v="1"/>
    <n v="8"/>
    <x v="89"/>
    <x v="90"/>
  </r>
  <r>
    <x v="2"/>
    <x v="3"/>
    <x v="2"/>
    <x v="0"/>
    <n v="2"/>
    <x v="90"/>
    <x v="91"/>
  </r>
  <r>
    <x v="2"/>
    <x v="1"/>
    <x v="0"/>
    <x v="1"/>
    <n v="2"/>
    <x v="91"/>
    <x v="92"/>
  </r>
  <r>
    <x v="3"/>
    <x v="2"/>
    <x v="4"/>
    <x v="2"/>
    <n v="9"/>
    <x v="92"/>
    <x v="93"/>
  </r>
  <r>
    <x v="1"/>
    <x v="3"/>
    <x v="4"/>
    <x v="5"/>
    <n v="2"/>
    <x v="93"/>
    <x v="94"/>
  </r>
  <r>
    <x v="1"/>
    <x v="0"/>
    <x v="0"/>
    <x v="2"/>
    <n v="7"/>
    <x v="94"/>
    <x v="95"/>
  </r>
  <r>
    <x v="1"/>
    <x v="2"/>
    <x v="0"/>
    <x v="3"/>
    <n v="7"/>
    <x v="95"/>
    <x v="96"/>
  </r>
  <r>
    <x v="1"/>
    <x v="1"/>
    <x v="0"/>
    <x v="1"/>
    <n v="4"/>
    <x v="96"/>
    <x v="97"/>
  </r>
  <r>
    <x v="0"/>
    <x v="3"/>
    <x v="3"/>
    <x v="2"/>
    <n v="1"/>
    <x v="97"/>
    <x v="98"/>
  </r>
  <r>
    <x v="1"/>
    <x v="3"/>
    <x v="3"/>
    <x v="1"/>
    <n v="4"/>
    <x v="98"/>
    <x v="99"/>
  </r>
  <r>
    <x v="3"/>
    <x v="0"/>
    <x v="2"/>
    <x v="2"/>
    <n v="7"/>
    <x v="99"/>
    <x v="100"/>
  </r>
  <r>
    <x v="1"/>
    <x v="0"/>
    <x v="0"/>
    <x v="0"/>
    <n v="10"/>
    <x v="100"/>
    <x v="101"/>
  </r>
  <r>
    <x v="0"/>
    <x v="1"/>
    <x v="0"/>
    <x v="3"/>
    <n v="8"/>
    <x v="101"/>
    <x v="102"/>
  </r>
  <r>
    <x v="1"/>
    <x v="0"/>
    <x v="0"/>
    <x v="1"/>
    <n v="6"/>
    <x v="102"/>
    <x v="103"/>
  </r>
  <r>
    <x v="4"/>
    <x v="0"/>
    <x v="2"/>
    <x v="0"/>
    <n v="3"/>
    <x v="103"/>
    <x v="104"/>
  </r>
  <r>
    <x v="0"/>
    <x v="2"/>
    <x v="0"/>
    <x v="2"/>
    <n v="8"/>
    <x v="104"/>
    <x v="105"/>
  </r>
  <r>
    <x v="1"/>
    <x v="0"/>
    <x v="2"/>
    <x v="4"/>
    <n v="9"/>
    <x v="105"/>
    <x v="106"/>
  </r>
  <r>
    <x v="2"/>
    <x v="3"/>
    <x v="1"/>
    <x v="3"/>
    <n v="9"/>
    <x v="106"/>
    <x v="107"/>
  </r>
  <r>
    <x v="2"/>
    <x v="0"/>
    <x v="0"/>
    <x v="0"/>
    <n v="4"/>
    <x v="107"/>
    <x v="108"/>
  </r>
  <r>
    <x v="0"/>
    <x v="3"/>
    <x v="4"/>
    <x v="4"/>
    <n v="9"/>
    <x v="108"/>
    <x v="109"/>
  </r>
  <r>
    <x v="3"/>
    <x v="3"/>
    <x v="2"/>
    <x v="5"/>
    <n v="4"/>
    <x v="109"/>
    <x v="110"/>
  </r>
  <r>
    <x v="1"/>
    <x v="1"/>
    <x v="3"/>
    <x v="1"/>
    <n v="6"/>
    <x v="110"/>
    <x v="111"/>
  </r>
  <r>
    <x v="1"/>
    <x v="0"/>
    <x v="0"/>
    <x v="0"/>
    <n v="7"/>
    <x v="111"/>
    <x v="112"/>
  </r>
  <r>
    <x v="4"/>
    <x v="1"/>
    <x v="2"/>
    <x v="1"/>
    <n v="10"/>
    <x v="112"/>
    <x v="113"/>
  </r>
  <r>
    <x v="2"/>
    <x v="1"/>
    <x v="1"/>
    <x v="4"/>
    <n v="8"/>
    <x v="113"/>
    <x v="114"/>
  </r>
  <r>
    <x v="0"/>
    <x v="2"/>
    <x v="0"/>
    <x v="5"/>
    <n v="2"/>
    <x v="114"/>
    <x v="115"/>
  </r>
  <r>
    <x v="0"/>
    <x v="0"/>
    <x v="2"/>
    <x v="4"/>
    <n v="1"/>
    <x v="115"/>
    <x v="116"/>
  </r>
  <r>
    <x v="4"/>
    <x v="0"/>
    <x v="1"/>
    <x v="4"/>
    <n v="4"/>
    <x v="116"/>
    <x v="117"/>
  </r>
  <r>
    <x v="3"/>
    <x v="2"/>
    <x v="2"/>
    <x v="5"/>
    <n v="10"/>
    <x v="117"/>
    <x v="118"/>
  </r>
  <r>
    <x v="2"/>
    <x v="3"/>
    <x v="0"/>
    <x v="0"/>
    <n v="2"/>
    <x v="118"/>
    <x v="119"/>
  </r>
  <r>
    <x v="2"/>
    <x v="3"/>
    <x v="1"/>
    <x v="1"/>
    <n v="4"/>
    <x v="119"/>
    <x v="120"/>
  </r>
  <r>
    <x v="1"/>
    <x v="1"/>
    <x v="4"/>
    <x v="5"/>
    <n v="6"/>
    <x v="120"/>
    <x v="121"/>
  </r>
  <r>
    <x v="2"/>
    <x v="2"/>
    <x v="4"/>
    <x v="3"/>
    <n v="6"/>
    <x v="121"/>
    <x v="122"/>
  </r>
  <r>
    <x v="2"/>
    <x v="0"/>
    <x v="2"/>
    <x v="4"/>
    <n v="2"/>
    <x v="122"/>
    <x v="123"/>
  </r>
  <r>
    <x v="3"/>
    <x v="1"/>
    <x v="0"/>
    <x v="5"/>
    <n v="4"/>
    <x v="123"/>
    <x v="124"/>
  </r>
  <r>
    <x v="2"/>
    <x v="1"/>
    <x v="1"/>
    <x v="3"/>
    <n v="1"/>
    <x v="124"/>
    <x v="125"/>
  </r>
  <r>
    <x v="0"/>
    <x v="3"/>
    <x v="3"/>
    <x v="5"/>
    <n v="8"/>
    <x v="125"/>
    <x v="126"/>
  </r>
  <r>
    <x v="2"/>
    <x v="2"/>
    <x v="4"/>
    <x v="1"/>
    <n v="6"/>
    <x v="126"/>
    <x v="127"/>
  </r>
  <r>
    <x v="2"/>
    <x v="2"/>
    <x v="1"/>
    <x v="5"/>
    <n v="8"/>
    <x v="127"/>
    <x v="128"/>
  </r>
  <r>
    <x v="0"/>
    <x v="1"/>
    <x v="4"/>
    <x v="1"/>
    <n v="3"/>
    <x v="128"/>
    <x v="129"/>
  </r>
  <r>
    <x v="2"/>
    <x v="3"/>
    <x v="3"/>
    <x v="1"/>
    <n v="3"/>
    <x v="129"/>
    <x v="130"/>
  </r>
  <r>
    <x v="3"/>
    <x v="3"/>
    <x v="2"/>
    <x v="5"/>
    <n v="2"/>
    <x v="130"/>
    <x v="131"/>
  </r>
  <r>
    <x v="4"/>
    <x v="0"/>
    <x v="1"/>
    <x v="0"/>
    <n v="1"/>
    <x v="131"/>
    <x v="132"/>
  </r>
  <r>
    <x v="3"/>
    <x v="0"/>
    <x v="2"/>
    <x v="0"/>
    <n v="2"/>
    <x v="132"/>
    <x v="133"/>
  </r>
  <r>
    <x v="1"/>
    <x v="1"/>
    <x v="0"/>
    <x v="2"/>
    <n v="4"/>
    <x v="133"/>
    <x v="134"/>
  </r>
  <r>
    <x v="3"/>
    <x v="1"/>
    <x v="3"/>
    <x v="0"/>
    <n v="4"/>
    <x v="134"/>
    <x v="135"/>
  </r>
  <r>
    <x v="4"/>
    <x v="0"/>
    <x v="1"/>
    <x v="0"/>
    <n v="3"/>
    <x v="135"/>
    <x v="136"/>
  </r>
  <r>
    <x v="1"/>
    <x v="3"/>
    <x v="3"/>
    <x v="2"/>
    <n v="6"/>
    <x v="136"/>
    <x v="137"/>
  </r>
  <r>
    <x v="4"/>
    <x v="2"/>
    <x v="3"/>
    <x v="5"/>
    <n v="10"/>
    <x v="137"/>
    <x v="138"/>
  </r>
  <r>
    <x v="1"/>
    <x v="3"/>
    <x v="3"/>
    <x v="0"/>
    <n v="8"/>
    <x v="138"/>
    <x v="139"/>
  </r>
  <r>
    <x v="3"/>
    <x v="0"/>
    <x v="4"/>
    <x v="2"/>
    <n v="5"/>
    <x v="139"/>
    <x v="140"/>
  </r>
  <r>
    <x v="0"/>
    <x v="2"/>
    <x v="1"/>
    <x v="5"/>
    <n v="2"/>
    <x v="140"/>
    <x v="141"/>
  </r>
  <r>
    <x v="3"/>
    <x v="1"/>
    <x v="3"/>
    <x v="1"/>
    <n v="9"/>
    <x v="141"/>
    <x v="142"/>
  </r>
  <r>
    <x v="4"/>
    <x v="0"/>
    <x v="1"/>
    <x v="5"/>
    <n v="1"/>
    <x v="142"/>
    <x v="143"/>
  </r>
  <r>
    <x v="0"/>
    <x v="0"/>
    <x v="1"/>
    <x v="3"/>
    <n v="6"/>
    <x v="143"/>
    <x v="144"/>
  </r>
  <r>
    <x v="0"/>
    <x v="2"/>
    <x v="0"/>
    <x v="1"/>
    <n v="8"/>
    <x v="144"/>
    <x v="145"/>
  </r>
  <r>
    <x v="4"/>
    <x v="1"/>
    <x v="4"/>
    <x v="4"/>
    <n v="3"/>
    <x v="145"/>
    <x v="146"/>
  </r>
  <r>
    <x v="2"/>
    <x v="2"/>
    <x v="0"/>
    <x v="5"/>
    <n v="7"/>
    <x v="146"/>
    <x v="147"/>
  </r>
  <r>
    <x v="2"/>
    <x v="0"/>
    <x v="2"/>
    <x v="0"/>
    <n v="1"/>
    <x v="147"/>
    <x v="148"/>
  </r>
  <r>
    <x v="2"/>
    <x v="0"/>
    <x v="2"/>
    <x v="5"/>
    <n v="9"/>
    <x v="148"/>
    <x v="149"/>
  </r>
  <r>
    <x v="4"/>
    <x v="2"/>
    <x v="1"/>
    <x v="2"/>
    <n v="9"/>
    <x v="149"/>
    <x v="150"/>
  </r>
  <r>
    <x v="3"/>
    <x v="2"/>
    <x v="0"/>
    <x v="1"/>
    <n v="2"/>
    <x v="150"/>
    <x v="151"/>
  </r>
  <r>
    <x v="1"/>
    <x v="0"/>
    <x v="4"/>
    <x v="5"/>
    <n v="5"/>
    <x v="151"/>
    <x v="152"/>
  </r>
  <r>
    <x v="4"/>
    <x v="0"/>
    <x v="0"/>
    <x v="0"/>
    <n v="4"/>
    <x v="152"/>
    <x v="153"/>
  </r>
  <r>
    <x v="4"/>
    <x v="2"/>
    <x v="2"/>
    <x v="2"/>
    <n v="6"/>
    <x v="153"/>
    <x v="154"/>
  </r>
  <r>
    <x v="2"/>
    <x v="0"/>
    <x v="1"/>
    <x v="4"/>
    <n v="4"/>
    <x v="154"/>
    <x v="155"/>
  </r>
  <r>
    <x v="4"/>
    <x v="1"/>
    <x v="3"/>
    <x v="0"/>
    <n v="1"/>
    <x v="155"/>
    <x v="156"/>
  </r>
  <r>
    <x v="3"/>
    <x v="1"/>
    <x v="1"/>
    <x v="3"/>
    <n v="7"/>
    <x v="123"/>
    <x v="157"/>
  </r>
  <r>
    <x v="0"/>
    <x v="3"/>
    <x v="0"/>
    <x v="3"/>
    <n v="2"/>
    <x v="156"/>
    <x v="158"/>
  </r>
  <r>
    <x v="0"/>
    <x v="2"/>
    <x v="3"/>
    <x v="2"/>
    <n v="6"/>
    <x v="157"/>
    <x v="159"/>
  </r>
  <r>
    <x v="3"/>
    <x v="0"/>
    <x v="3"/>
    <x v="1"/>
    <n v="8"/>
    <x v="158"/>
    <x v="160"/>
  </r>
  <r>
    <x v="4"/>
    <x v="3"/>
    <x v="3"/>
    <x v="4"/>
    <n v="6"/>
    <x v="159"/>
    <x v="161"/>
  </r>
  <r>
    <x v="2"/>
    <x v="0"/>
    <x v="0"/>
    <x v="0"/>
    <n v="2"/>
    <x v="160"/>
    <x v="162"/>
  </r>
  <r>
    <x v="4"/>
    <x v="1"/>
    <x v="2"/>
    <x v="4"/>
    <n v="3"/>
    <x v="161"/>
    <x v="163"/>
  </r>
  <r>
    <x v="2"/>
    <x v="0"/>
    <x v="1"/>
    <x v="3"/>
    <n v="10"/>
    <x v="162"/>
    <x v="164"/>
  </r>
  <r>
    <x v="3"/>
    <x v="2"/>
    <x v="4"/>
    <x v="4"/>
    <n v="7"/>
    <x v="163"/>
    <x v="165"/>
  </r>
  <r>
    <x v="2"/>
    <x v="2"/>
    <x v="4"/>
    <x v="2"/>
    <n v="3"/>
    <x v="164"/>
    <x v="166"/>
  </r>
  <r>
    <x v="4"/>
    <x v="1"/>
    <x v="1"/>
    <x v="0"/>
    <n v="7"/>
    <x v="165"/>
    <x v="167"/>
  </r>
  <r>
    <x v="0"/>
    <x v="0"/>
    <x v="4"/>
    <x v="0"/>
    <n v="2"/>
    <x v="166"/>
    <x v="168"/>
  </r>
  <r>
    <x v="4"/>
    <x v="3"/>
    <x v="4"/>
    <x v="3"/>
    <n v="8"/>
    <x v="167"/>
    <x v="169"/>
  </r>
  <r>
    <x v="2"/>
    <x v="1"/>
    <x v="3"/>
    <x v="0"/>
    <n v="4"/>
    <x v="168"/>
    <x v="170"/>
  </r>
  <r>
    <x v="4"/>
    <x v="1"/>
    <x v="2"/>
    <x v="4"/>
    <n v="7"/>
    <x v="169"/>
    <x v="171"/>
  </r>
  <r>
    <x v="4"/>
    <x v="2"/>
    <x v="1"/>
    <x v="3"/>
    <n v="7"/>
    <x v="170"/>
    <x v="172"/>
  </r>
  <r>
    <x v="2"/>
    <x v="0"/>
    <x v="4"/>
    <x v="0"/>
    <n v="10"/>
    <x v="171"/>
    <x v="173"/>
  </r>
  <r>
    <x v="2"/>
    <x v="2"/>
    <x v="4"/>
    <x v="2"/>
    <n v="10"/>
    <x v="172"/>
    <x v="174"/>
  </r>
  <r>
    <x v="3"/>
    <x v="1"/>
    <x v="3"/>
    <x v="4"/>
    <n v="10"/>
    <x v="173"/>
    <x v="175"/>
  </r>
  <r>
    <x v="3"/>
    <x v="3"/>
    <x v="1"/>
    <x v="5"/>
    <n v="9"/>
    <x v="174"/>
    <x v="176"/>
  </r>
  <r>
    <x v="2"/>
    <x v="0"/>
    <x v="4"/>
    <x v="5"/>
    <n v="10"/>
    <x v="175"/>
    <x v="177"/>
  </r>
  <r>
    <x v="4"/>
    <x v="0"/>
    <x v="3"/>
    <x v="4"/>
    <n v="8"/>
    <x v="176"/>
    <x v="178"/>
  </r>
  <r>
    <x v="0"/>
    <x v="3"/>
    <x v="0"/>
    <x v="4"/>
    <n v="1"/>
    <x v="177"/>
    <x v="179"/>
  </r>
  <r>
    <x v="0"/>
    <x v="2"/>
    <x v="4"/>
    <x v="0"/>
    <n v="2"/>
    <x v="178"/>
    <x v="180"/>
  </r>
  <r>
    <x v="2"/>
    <x v="2"/>
    <x v="1"/>
    <x v="5"/>
    <n v="4"/>
    <x v="179"/>
    <x v="181"/>
  </r>
  <r>
    <x v="4"/>
    <x v="3"/>
    <x v="3"/>
    <x v="4"/>
    <n v="6"/>
    <x v="180"/>
    <x v="182"/>
  </r>
  <r>
    <x v="1"/>
    <x v="1"/>
    <x v="4"/>
    <x v="4"/>
    <n v="5"/>
    <x v="181"/>
    <x v="183"/>
  </r>
  <r>
    <x v="1"/>
    <x v="2"/>
    <x v="2"/>
    <x v="2"/>
    <n v="5"/>
    <x v="182"/>
    <x v="184"/>
  </r>
  <r>
    <x v="2"/>
    <x v="3"/>
    <x v="3"/>
    <x v="0"/>
    <n v="5"/>
    <x v="183"/>
    <x v="185"/>
  </r>
  <r>
    <x v="3"/>
    <x v="2"/>
    <x v="0"/>
    <x v="5"/>
    <n v="2"/>
    <x v="184"/>
    <x v="186"/>
  </r>
  <r>
    <x v="2"/>
    <x v="1"/>
    <x v="4"/>
    <x v="0"/>
    <n v="7"/>
    <x v="185"/>
    <x v="187"/>
  </r>
  <r>
    <x v="1"/>
    <x v="1"/>
    <x v="3"/>
    <x v="2"/>
    <n v="2"/>
    <x v="186"/>
    <x v="188"/>
  </r>
  <r>
    <x v="4"/>
    <x v="0"/>
    <x v="2"/>
    <x v="0"/>
    <n v="9"/>
    <x v="187"/>
    <x v="189"/>
  </r>
  <r>
    <x v="0"/>
    <x v="2"/>
    <x v="3"/>
    <x v="1"/>
    <n v="1"/>
    <x v="188"/>
    <x v="190"/>
  </r>
  <r>
    <x v="2"/>
    <x v="1"/>
    <x v="4"/>
    <x v="4"/>
    <n v="9"/>
    <x v="189"/>
    <x v="191"/>
  </r>
  <r>
    <x v="3"/>
    <x v="2"/>
    <x v="0"/>
    <x v="3"/>
    <n v="5"/>
    <x v="190"/>
    <x v="192"/>
  </r>
  <r>
    <x v="4"/>
    <x v="1"/>
    <x v="2"/>
    <x v="2"/>
    <n v="6"/>
    <x v="191"/>
    <x v="193"/>
  </r>
  <r>
    <x v="3"/>
    <x v="2"/>
    <x v="3"/>
    <x v="0"/>
    <n v="1"/>
    <x v="192"/>
    <x v="194"/>
  </r>
  <r>
    <x v="0"/>
    <x v="3"/>
    <x v="1"/>
    <x v="1"/>
    <n v="3"/>
    <x v="193"/>
    <x v="195"/>
  </r>
  <r>
    <x v="3"/>
    <x v="1"/>
    <x v="3"/>
    <x v="4"/>
    <n v="1"/>
    <x v="194"/>
    <x v="196"/>
  </r>
  <r>
    <x v="4"/>
    <x v="2"/>
    <x v="1"/>
    <x v="4"/>
    <n v="1"/>
    <x v="195"/>
    <x v="197"/>
  </r>
  <r>
    <x v="0"/>
    <x v="0"/>
    <x v="1"/>
    <x v="3"/>
    <n v="2"/>
    <x v="196"/>
    <x v="198"/>
  </r>
  <r>
    <x v="4"/>
    <x v="0"/>
    <x v="4"/>
    <x v="3"/>
    <n v="7"/>
    <x v="197"/>
    <x v="199"/>
  </r>
  <r>
    <x v="2"/>
    <x v="0"/>
    <x v="1"/>
    <x v="5"/>
    <n v="1"/>
    <x v="198"/>
    <x v="200"/>
  </r>
  <r>
    <x v="3"/>
    <x v="2"/>
    <x v="2"/>
    <x v="0"/>
    <n v="5"/>
    <x v="199"/>
    <x v="201"/>
  </r>
  <r>
    <x v="2"/>
    <x v="1"/>
    <x v="3"/>
    <x v="1"/>
    <n v="5"/>
    <x v="200"/>
    <x v="202"/>
  </r>
  <r>
    <x v="4"/>
    <x v="2"/>
    <x v="1"/>
    <x v="3"/>
    <n v="7"/>
    <x v="201"/>
    <x v="203"/>
  </r>
  <r>
    <x v="3"/>
    <x v="3"/>
    <x v="0"/>
    <x v="4"/>
    <n v="9"/>
    <x v="202"/>
    <x v="204"/>
  </r>
  <r>
    <x v="0"/>
    <x v="3"/>
    <x v="2"/>
    <x v="4"/>
    <n v="5"/>
    <x v="203"/>
    <x v="205"/>
  </r>
  <r>
    <x v="1"/>
    <x v="3"/>
    <x v="4"/>
    <x v="4"/>
    <n v="8"/>
    <x v="204"/>
    <x v="206"/>
  </r>
  <r>
    <x v="2"/>
    <x v="2"/>
    <x v="1"/>
    <x v="2"/>
    <n v="2"/>
    <x v="205"/>
    <x v="207"/>
  </r>
  <r>
    <x v="1"/>
    <x v="2"/>
    <x v="1"/>
    <x v="3"/>
    <n v="10"/>
    <x v="206"/>
    <x v="208"/>
  </r>
  <r>
    <x v="0"/>
    <x v="0"/>
    <x v="1"/>
    <x v="0"/>
    <n v="8"/>
    <x v="207"/>
    <x v="209"/>
  </r>
  <r>
    <x v="2"/>
    <x v="0"/>
    <x v="2"/>
    <x v="0"/>
    <n v="2"/>
    <x v="208"/>
    <x v="210"/>
  </r>
  <r>
    <x v="3"/>
    <x v="0"/>
    <x v="3"/>
    <x v="0"/>
    <n v="1"/>
    <x v="209"/>
    <x v="211"/>
  </r>
  <r>
    <x v="2"/>
    <x v="1"/>
    <x v="0"/>
    <x v="5"/>
    <n v="10"/>
    <x v="210"/>
    <x v="212"/>
  </r>
  <r>
    <x v="0"/>
    <x v="0"/>
    <x v="4"/>
    <x v="3"/>
    <n v="1"/>
    <x v="211"/>
    <x v="9"/>
  </r>
  <r>
    <x v="4"/>
    <x v="1"/>
    <x v="4"/>
    <x v="4"/>
    <n v="5"/>
    <x v="212"/>
    <x v="213"/>
  </r>
  <r>
    <x v="2"/>
    <x v="1"/>
    <x v="1"/>
    <x v="4"/>
    <n v="1"/>
    <x v="213"/>
    <x v="214"/>
  </r>
  <r>
    <x v="4"/>
    <x v="1"/>
    <x v="2"/>
    <x v="1"/>
    <n v="5"/>
    <x v="214"/>
    <x v="215"/>
  </r>
  <r>
    <x v="2"/>
    <x v="1"/>
    <x v="2"/>
    <x v="4"/>
    <n v="2"/>
    <x v="215"/>
    <x v="216"/>
  </r>
  <r>
    <x v="2"/>
    <x v="3"/>
    <x v="3"/>
    <x v="2"/>
    <n v="2"/>
    <x v="216"/>
    <x v="217"/>
  </r>
  <r>
    <x v="4"/>
    <x v="1"/>
    <x v="2"/>
    <x v="4"/>
    <n v="8"/>
    <x v="217"/>
    <x v="218"/>
  </r>
  <r>
    <x v="0"/>
    <x v="0"/>
    <x v="4"/>
    <x v="3"/>
    <n v="1"/>
    <x v="218"/>
    <x v="219"/>
  </r>
  <r>
    <x v="3"/>
    <x v="3"/>
    <x v="1"/>
    <x v="5"/>
    <n v="9"/>
    <x v="219"/>
    <x v="220"/>
  </r>
  <r>
    <x v="3"/>
    <x v="0"/>
    <x v="4"/>
    <x v="4"/>
    <n v="2"/>
    <x v="220"/>
    <x v="221"/>
  </r>
  <r>
    <x v="1"/>
    <x v="3"/>
    <x v="3"/>
    <x v="4"/>
    <n v="4"/>
    <x v="221"/>
    <x v="222"/>
  </r>
  <r>
    <x v="2"/>
    <x v="2"/>
    <x v="4"/>
    <x v="4"/>
    <n v="2"/>
    <x v="222"/>
    <x v="223"/>
  </r>
  <r>
    <x v="2"/>
    <x v="0"/>
    <x v="1"/>
    <x v="4"/>
    <n v="8"/>
    <x v="223"/>
    <x v="224"/>
  </r>
  <r>
    <x v="4"/>
    <x v="1"/>
    <x v="3"/>
    <x v="1"/>
    <n v="5"/>
    <x v="224"/>
    <x v="225"/>
  </r>
  <r>
    <x v="3"/>
    <x v="0"/>
    <x v="2"/>
    <x v="0"/>
    <n v="3"/>
    <x v="225"/>
    <x v="226"/>
  </r>
  <r>
    <x v="1"/>
    <x v="3"/>
    <x v="0"/>
    <x v="0"/>
    <n v="8"/>
    <x v="226"/>
    <x v="227"/>
  </r>
  <r>
    <x v="4"/>
    <x v="3"/>
    <x v="1"/>
    <x v="3"/>
    <n v="10"/>
    <x v="227"/>
    <x v="193"/>
  </r>
  <r>
    <x v="3"/>
    <x v="1"/>
    <x v="4"/>
    <x v="3"/>
    <n v="10"/>
    <x v="228"/>
    <x v="228"/>
  </r>
  <r>
    <x v="0"/>
    <x v="0"/>
    <x v="4"/>
    <x v="4"/>
    <n v="4"/>
    <x v="229"/>
    <x v="229"/>
  </r>
  <r>
    <x v="2"/>
    <x v="1"/>
    <x v="2"/>
    <x v="3"/>
    <n v="7"/>
    <x v="230"/>
    <x v="230"/>
  </r>
  <r>
    <x v="1"/>
    <x v="1"/>
    <x v="2"/>
    <x v="2"/>
    <n v="2"/>
    <x v="231"/>
    <x v="231"/>
  </r>
  <r>
    <x v="2"/>
    <x v="2"/>
    <x v="0"/>
    <x v="5"/>
    <n v="9"/>
    <x v="232"/>
    <x v="232"/>
  </r>
  <r>
    <x v="0"/>
    <x v="2"/>
    <x v="0"/>
    <x v="1"/>
    <n v="3"/>
    <x v="233"/>
    <x v="233"/>
  </r>
  <r>
    <x v="0"/>
    <x v="1"/>
    <x v="0"/>
    <x v="3"/>
    <n v="9"/>
    <x v="234"/>
    <x v="234"/>
  </r>
  <r>
    <x v="3"/>
    <x v="1"/>
    <x v="2"/>
    <x v="1"/>
    <n v="4"/>
    <x v="235"/>
    <x v="235"/>
  </r>
  <r>
    <x v="4"/>
    <x v="3"/>
    <x v="0"/>
    <x v="5"/>
    <n v="7"/>
    <x v="236"/>
    <x v="236"/>
  </r>
  <r>
    <x v="4"/>
    <x v="1"/>
    <x v="3"/>
    <x v="4"/>
    <n v="9"/>
    <x v="237"/>
    <x v="237"/>
  </r>
  <r>
    <x v="3"/>
    <x v="2"/>
    <x v="2"/>
    <x v="3"/>
    <n v="6"/>
    <x v="238"/>
    <x v="238"/>
  </r>
  <r>
    <x v="3"/>
    <x v="3"/>
    <x v="4"/>
    <x v="3"/>
    <n v="5"/>
    <x v="239"/>
    <x v="239"/>
  </r>
  <r>
    <x v="4"/>
    <x v="0"/>
    <x v="4"/>
    <x v="1"/>
    <n v="7"/>
    <x v="240"/>
    <x v="240"/>
  </r>
  <r>
    <x v="0"/>
    <x v="1"/>
    <x v="4"/>
    <x v="0"/>
    <n v="10"/>
    <x v="241"/>
    <x v="241"/>
  </r>
  <r>
    <x v="3"/>
    <x v="3"/>
    <x v="1"/>
    <x v="5"/>
    <n v="2"/>
    <x v="242"/>
    <x v="242"/>
  </r>
  <r>
    <x v="3"/>
    <x v="2"/>
    <x v="3"/>
    <x v="1"/>
    <n v="6"/>
    <x v="243"/>
    <x v="243"/>
  </r>
  <r>
    <x v="1"/>
    <x v="1"/>
    <x v="1"/>
    <x v="2"/>
    <n v="3"/>
    <x v="244"/>
    <x v="244"/>
  </r>
  <r>
    <x v="2"/>
    <x v="2"/>
    <x v="3"/>
    <x v="2"/>
    <n v="5"/>
    <x v="245"/>
    <x v="245"/>
  </r>
  <r>
    <x v="3"/>
    <x v="0"/>
    <x v="1"/>
    <x v="2"/>
    <n v="1"/>
    <x v="246"/>
    <x v="246"/>
  </r>
  <r>
    <x v="1"/>
    <x v="2"/>
    <x v="0"/>
    <x v="3"/>
    <n v="4"/>
    <x v="247"/>
    <x v="247"/>
  </r>
  <r>
    <x v="1"/>
    <x v="1"/>
    <x v="2"/>
    <x v="4"/>
    <n v="10"/>
    <x v="248"/>
    <x v="248"/>
  </r>
  <r>
    <x v="2"/>
    <x v="3"/>
    <x v="2"/>
    <x v="4"/>
    <n v="3"/>
    <x v="249"/>
    <x v="249"/>
  </r>
  <r>
    <x v="3"/>
    <x v="0"/>
    <x v="2"/>
    <x v="2"/>
    <n v="4"/>
    <x v="250"/>
    <x v="250"/>
  </r>
  <r>
    <x v="2"/>
    <x v="2"/>
    <x v="2"/>
    <x v="1"/>
    <n v="1"/>
    <x v="251"/>
    <x v="251"/>
  </r>
  <r>
    <x v="4"/>
    <x v="2"/>
    <x v="1"/>
    <x v="2"/>
    <n v="8"/>
    <x v="252"/>
    <x v="252"/>
  </r>
  <r>
    <x v="3"/>
    <x v="1"/>
    <x v="3"/>
    <x v="2"/>
    <n v="2"/>
    <x v="253"/>
    <x v="253"/>
  </r>
  <r>
    <x v="3"/>
    <x v="1"/>
    <x v="1"/>
    <x v="1"/>
    <n v="1"/>
    <x v="254"/>
    <x v="254"/>
  </r>
  <r>
    <x v="4"/>
    <x v="2"/>
    <x v="3"/>
    <x v="5"/>
    <n v="1"/>
    <x v="255"/>
    <x v="255"/>
  </r>
  <r>
    <x v="2"/>
    <x v="1"/>
    <x v="3"/>
    <x v="1"/>
    <n v="1"/>
    <x v="256"/>
    <x v="256"/>
  </r>
  <r>
    <x v="2"/>
    <x v="0"/>
    <x v="4"/>
    <x v="3"/>
    <n v="1"/>
    <x v="257"/>
    <x v="257"/>
  </r>
  <r>
    <x v="0"/>
    <x v="1"/>
    <x v="0"/>
    <x v="5"/>
    <n v="6"/>
    <x v="258"/>
    <x v="258"/>
  </r>
  <r>
    <x v="1"/>
    <x v="1"/>
    <x v="4"/>
    <x v="2"/>
    <n v="1"/>
    <x v="259"/>
    <x v="259"/>
  </r>
  <r>
    <x v="1"/>
    <x v="0"/>
    <x v="3"/>
    <x v="1"/>
    <n v="8"/>
    <x v="260"/>
    <x v="260"/>
  </r>
  <r>
    <x v="0"/>
    <x v="2"/>
    <x v="0"/>
    <x v="0"/>
    <n v="6"/>
    <x v="261"/>
    <x v="261"/>
  </r>
  <r>
    <x v="1"/>
    <x v="1"/>
    <x v="4"/>
    <x v="3"/>
    <n v="7"/>
    <x v="262"/>
    <x v="262"/>
  </r>
  <r>
    <x v="3"/>
    <x v="3"/>
    <x v="2"/>
    <x v="2"/>
    <n v="4"/>
    <x v="263"/>
    <x v="263"/>
  </r>
  <r>
    <x v="2"/>
    <x v="2"/>
    <x v="1"/>
    <x v="0"/>
    <n v="5"/>
    <x v="264"/>
    <x v="264"/>
  </r>
  <r>
    <x v="2"/>
    <x v="3"/>
    <x v="0"/>
    <x v="1"/>
    <n v="1"/>
    <x v="265"/>
    <x v="265"/>
  </r>
  <r>
    <x v="0"/>
    <x v="2"/>
    <x v="1"/>
    <x v="4"/>
    <n v="5"/>
    <x v="266"/>
    <x v="266"/>
  </r>
  <r>
    <x v="1"/>
    <x v="0"/>
    <x v="1"/>
    <x v="3"/>
    <n v="1"/>
    <x v="267"/>
    <x v="267"/>
  </r>
  <r>
    <x v="1"/>
    <x v="1"/>
    <x v="0"/>
    <x v="0"/>
    <n v="10"/>
    <x v="268"/>
    <x v="268"/>
  </r>
  <r>
    <x v="2"/>
    <x v="3"/>
    <x v="0"/>
    <x v="2"/>
    <n v="4"/>
    <x v="269"/>
    <x v="269"/>
  </r>
  <r>
    <x v="1"/>
    <x v="3"/>
    <x v="3"/>
    <x v="3"/>
    <n v="8"/>
    <x v="270"/>
    <x v="270"/>
  </r>
  <r>
    <x v="4"/>
    <x v="3"/>
    <x v="0"/>
    <x v="5"/>
    <n v="4"/>
    <x v="271"/>
    <x v="271"/>
  </r>
  <r>
    <x v="4"/>
    <x v="0"/>
    <x v="0"/>
    <x v="2"/>
    <n v="1"/>
    <x v="272"/>
    <x v="272"/>
  </r>
  <r>
    <x v="3"/>
    <x v="1"/>
    <x v="0"/>
    <x v="2"/>
    <n v="9"/>
    <x v="273"/>
    <x v="273"/>
  </r>
  <r>
    <x v="4"/>
    <x v="0"/>
    <x v="4"/>
    <x v="1"/>
    <n v="6"/>
    <x v="274"/>
    <x v="274"/>
  </r>
  <r>
    <x v="2"/>
    <x v="2"/>
    <x v="1"/>
    <x v="2"/>
    <n v="4"/>
    <x v="275"/>
    <x v="275"/>
  </r>
  <r>
    <x v="4"/>
    <x v="1"/>
    <x v="4"/>
    <x v="2"/>
    <n v="1"/>
    <x v="276"/>
    <x v="276"/>
  </r>
  <r>
    <x v="1"/>
    <x v="3"/>
    <x v="4"/>
    <x v="2"/>
    <n v="5"/>
    <x v="277"/>
    <x v="277"/>
  </r>
  <r>
    <x v="2"/>
    <x v="1"/>
    <x v="0"/>
    <x v="0"/>
    <n v="5"/>
    <x v="278"/>
    <x v="278"/>
  </r>
  <r>
    <x v="1"/>
    <x v="3"/>
    <x v="1"/>
    <x v="2"/>
    <n v="5"/>
    <x v="279"/>
    <x v="279"/>
  </r>
  <r>
    <x v="3"/>
    <x v="3"/>
    <x v="3"/>
    <x v="0"/>
    <n v="10"/>
    <x v="280"/>
    <x v="280"/>
  </r>
  <r>
    <x v="3"/>
    <x v="3"/>
    <x v="2"/>
    <x v="1"/>
    <n v="6"/>
    <x v="281"/>
    <x v="281"/>
  </r>
  <r>
    <x v="1"/>
    <x v="1"/>
    <x v="4"/>
    <x v="4"/>
    <n v="1"/>
    <x v="282"/>
    <x v="282"/>
  </r>
  <r>
    <x v="2"/>
    <x v="1"/>
    <x v="4"/>
    <x v="0"/>
    <n v="2"/>
    <x v="283"/>
    <x v="283"/>
  </r>
  <r>
    <x v="0"/>
    <x v="3"/>
    <x v="1"/>
    <x v="5"/>
    <n v="1"/>
    <x v="284"/>
    <x v="284"/>
  </r>
  <r>
    <x v="1"/>
    <x v="2"/>
    <x v="2"/>
    <x v="0"/>
    <n v="7"/>
    <x v="285"/>
    <x v="285"/>
  </r>
  <r>
    <x v="1"/>
    <x v="2"/>
    <x v="4"/>
    <x v="4"/>
    <n v="3"/>
    <x v="286"/>
    <x v="286"/>
  </r>
  <r>
    <x v="4"/>
    <x v="2"/>
    <x v="1"/>
    <x v="5"/>
    <n v="6"/>
    <x v="287"/>
    <x v="287"/>
  </r>
  <r>
    <x v="1"/>
    <x v="0"/>
    <x v="1"/>
    <x v="1"/>
    <n v="5"/>
    <x v="288"/>
    <x v="288"/>
  </r>
  <r>
    <x v="2"/>
    <x v="1"/>
    <x v="4"/>
    <x v="3"/>
    <n v="5"/>
    <x v="289"/>
    <x v="289"/>
  </r>
  <r>
    <x v="1"/>
    <x v="3"/>
    <x v="2"/>
    <x v="3"/>
    <n v="9"/>
    <x v="290"/>
    <x v="290"/>
  </r>
  <r>
    <x v="3"/>
    <x v="2"/>
    <x v="1"/>
    <x v="0"/>
    <n v="8"/>
    <x v="291"/>
    <x v="291"/>
  </r>
  <r>
    <x v="2"/>
    <x v="0"/>
    <x v="3"/>
    <x v="1"/>
    <n v="7"/>
    <x v="292"/>
    <x v="292"/>
  </r>
  <r>
    <x v="0"/>
    <x v="2"/>
    <x v="1"/>
    <x v="0"/>
    <n v="9"/>
    <x v="293"/>
    <x v="293"/>
  </r>
  <r>
    <x v="3"/>
    <x v="0"/>
    <x v="1"/>
    <x v="4"/>
    <n v="3"/>
    <x v="294"/>
    <x v="294"/>
  </r>
  <r>
    <x v="0"/>
    <x v="1"/>
    <x v="1"/>
    <x v="1"/>
    <n v="3"/>
    <x v="295"/>
    <x v="295"/>
  </r>
  <r>
    <x v="3"/>
    <x v="2"/>
    <x v="0"/>
    <x v="2"/>
    <n v="5"/>
    <x v="296"/>
    <x v="296"/>
  </r>
  <r>
    <x v="2"/>
    <x v="3"/>
    <x v="4"/>
    <x v="1"/>
    <n v="7"/>
    <x v="297"/>
    <x v="297"/>
  </r>
  <r>
    <x v="4"/>
    <x v="0"/>
    <x v="1"/>
    <x v="0"/>
    <n v="2"/>
    <x v="298"/>
    <x v="298"/>
  </r>
  <r>
    <x v="2"/>
    <x v="1"/>
    <x v="4"/>
    <x v="5"/>
    <n v="10"/>
    <x v="299"/>
    <x v="299"/>
  </r>
  <r>
    <x v="2"/>
    <x v="1"/>
    <x v="2"/>
    <x v="2"/>
    <n v="8"/>
    <x v="300"/>
    <x v="300"/>
  </r>
  <r>
    <x v="0"/>
    <x v="0"/>
    <x v="0"/>
    <x v="3"/>
    <n v="3"/>
    <x v="301"/>
    <x v="301"/>
  </r>
  <r>
    <x v="2"/>
    <x v="3"/>
    <x v="3"/>
    <x v="3"/>
    <n v="9"/>
    <x v="302"/>
    <x v="302"/>
  </r>
  <r>
    <x v="2"/>
    <x v="2"/>
    <x v="3"/>
    <x v="3"/>
    <n v="5"/>
    <x v="303"/>
    <x v="303"/>
  </r>
  <r>
    <x v="0"/>
    <x v="3"/>
    <x v="4"/>
    <x v="0"/>
    <n v="5"/>
    <x v="304"/>
    <x v="304"/>
  </r>
  <r>
    <x v="3"/>
    <x v="2"/>
    <x v="3"/>
    <x v="4"/>
    <n v="4"/>
    <x v="305"/>
    <x v="305"/>
  </r>
  <r>
    <x v="0"/>
    <x v="2"/>
    <x v="1"/>
    <x v="2"/>
    <n v="3"/>
    <x v="306"/>
    <x v="306"/>
  </r>
  <r>
    <x v="2"/>
    <x v="0"/>
    <x v="2"/>
    <x v="0"/>
    <n v="6"/>
    <x v="307"/>
    <x v="307"/>
  </r>
  <r>
    <x v="3"/>
    <x v="2"/>
    <x v="1"/>
    <x v="3"/>
    <n v="8"/>
    <x v="308"/>
    <x v="308"/>
  </r>
  <r>
    <x v="0"/>
    <x v="0"/>
    <x v="3"/>
    <x v="0"/>
    <n v="9"/>
    <x v="309"/>
    <x v="309"/>
  </r>
  <r>
    <x v="3"/>
    <x v="1"/>
    <x v="4"/>
    <x v="3"/>
    <n v="1"/>
    <x v="310"/>
    <x v="310"/>
  </r>
  <r>
    <x v="3"/>
    <x v="1"/>
    <x v="2"/>
    <x v="3"/>
    <n v="5"/>
    <x v="311"/>
    <x v="311"/>
  </r>
  <r>
    <x v="4"/>
    <x v="0"/>
    <x v="2"/>
    <x v="0"/>
    <n v="10"/>
    <x v="312"/>
    <x v="312"/>
  </r>
  <r>
    <x v="1"/>
    <x v="3"/>
    <x v="2"/>
    <x v="2"/>
    <n v="10"/>
    <x v="313"/>
    <x v="313"/>
  </r>
  <r>
    <x v="3"/>
    <x v="3"/>
    <x v="2"/>
    <x v="5"/>
    <n v="8"/>
    <x v="314"/>
    <x v="314"/>
  </r>
  <r>
    <x v="2"/>
    <x v="2"/>
    <x v="4"/>
    <x v="4"/>
    <n v="7"/>
    <x v="315"/>
    <x v="315"/>
  </r>
  <r>
    <x v="1"/>
    <x v="1"/>
    <x v="0"/>
    <x v="1"/>
    <n v="6"/>
    <x v="316"/>
    <x v="316"/>
  </r>
  <r>
    <x v="1"/>
    <x v="2"/>
    <x v="3"/>
    <x v="3"/>
    <n v="10"/>
    <x v="317"/>
    <x v="317"/>
  </r>
  <r>
    <x v="1"/>
    <x v="0"/>
    <x v="1"/>
    <x v="1"/>
    <n v="7"/>
    <x v="318"/>
    <x v="318"/>
  </r>
  <r>
    <x v="2"/>
    <x v="0"/>
    <x v="0"/>
    <x v="5"/>
    <n v="9"/>
    <x v="319"/>
    <x v="319"/>
  </r>
  <r>
    <x v="1"/>
    <x v="3"/>
    <x v="1"/>
    <x v="5"/>
    <n v="9"/>
    <x v="320"/>
    <x v="320"/>
  </r>
  <r>
    <x v="0"/>
    <x v="1"/>
    <x v="0"/>
    <x v="3"/>
    <n v="4"/>
    <x v="321"/>
    <x v="321"/>
  </r>
  <r>
    <x v="0"/>
    <x v="2"/>
    <x v="4"/>
    <x v="2"/>
    <n v="7"/>
    <x v="322"/>
    <x v="322"/>
  </r>
  <r>
    <x v="1"/>
    <x v="3"/>
    <x v="1"/>
    <x v="5"/>
    <n v="1"/>
    <x v="323"/>
    <x v="323"/>
  </r>
  <r>
    <x v="2"/>
    <x v="0"/>
    <x v="2"/>
    <x v="2"/>
    <n v="3"/>
    <x v="324"/>
    <x v="324"/>
  </r>
  <r>
    <x v="0"/>
    <x v="1"/>
    <x v="1"/>
    <x v="1"/>
    <n v="7"/>
    <x v="325"/>
    <x v="325"/>
  </r>
  <r>
    <x v="4"/>
    <x v="1"/>
    <x v="1"/>
    <x v="1"/>
    <n v="4"/>
    <x v="326"/>
    <x v="326"/>
  </r>
  <r>
    <x v="3"/>
    <x v="3"/>
    <x v="1"/>
    <x v="3"/>
    <n v="5"/>
    <x v="327"/>
    <x v="327"/>
  </r>
  <r>
    <x v="1"/>
    <x v="2"/>
    <x v="0"/>
    <x v="1"/>
    <n v="2"/>
    <x v="328"/>
    <x v="328"/>
  </r>
  <r>
    <x v="3"/>
    <x v="2"/>
    <x v="0"/>
    <x v="1"/>
    <n v="2"/>
    <x v="329"/>
    <x v="329"/>
  </r>
  <r>
    <x v="0"/>
    <x v="1"/>
    <x v="1"/>
    <x v="5"/>
    <n v="4"/>
    <x v="330"/>
    <x v="330"/>
  </r>
  <r>
    <x v="2"/>
    <x v="1"/>
    <x v="1"/>
    <x v="2"/>
    <n v="8"/>
    <x v="331"/>
    <x v="331"/>
  </r>
  <r>
    <x v="0"/>
    <x v="0"/>
    <x v="1"/>
    <x v="3"/>
    <n v="9"/>
    <x v="332"/>
    <x v="332"/>
  </r>
  <r>
    <x v="1"/>
    <x v="0"/>
    <x v="0"/>
    <x v="4"/>
    <n v="1"/>
    <x v="333"/>
    <x v="333"/>
  </r>
  <r>
    <x v="4"/>
    <x v="3"/>
    <x v="0"/>
    <x v="5"/>
    <n v="10"/>
    <x v="334"/>
    <x v="334"/>
  </r>
  <r>
    <x v="2"/>
    <x v="2"/>
    <x v="0"/>
    <x v="5"/>
    <n v="6"/>
    <x v="335"/>
    <x v="335"/>
  </r>
  <r>
    <x v="2"/>
    <x v="1"/>
    <x v="4"/>
    <x v="2"/>
    <n v="10"/>
    <x v="336"/>
    <x v="336"/>
  </r>
  <r>
    <x v="1"/>
    <x v="2"/>
    <x v="0"/>
    <x v="3"/>
    <n v="9"/>
    <x v="337"/>
    <x v="337"/>
  </r>
  <r>
    <x v="1"/>
    <x v="0"/>
    <x v="3"/>
    <x v="5"/>
    <n v="10"/>
    <x v="338"/>
    <x v="338"/>
  </r>
  <r>
    <x v="4"/>
    <x v="3"/>
    <x v="2"/>
    <x v="3"/>
    <n v="5"/>
    <x v="339"/>
    <x v="339"/>
  </r>
  <r>
    <x v="2"/>
    <x v="3"/>
    <x v="2"/>
    <x v="4"/>
    <n v="10"/>
    <x v="340"/>
    <x v="340"/>
  </r>
  <r>
    <x v="3"/>
    <x v="2"/>
    <x v="4"/>
    <x v="2"/>
    <n v="2"/>
    <x v="341"/>
    <x v="341"/>
  </r>
  <r>
    <x v="3"/>
    <x v="1"/>
    <x v="0"/>
    <x v="2"/>
    <n v="10"/>
    <x v="342"/>
    <x v="342"/>
  </r>
  <r>
    <x v="4"/>
    <x v="3"/>
    <x v="2"/>
    <x v="0"/>
    <n v="10"/>
    <x v="343"/>
    <x v="343"/>
  </r>
  <r>
    <x v="0"/>
    <x v="3"/>
    <x v="1"/>
    <x v="2"/>
    <n v="8"/>
    <x v="344"/>
    <x v="344"/>
  </r>
  <r>
    <x v="1"/>
    <x v="1"/>
    <x v="4"/>
    <x v="2"/>
    <n v="10"/>
    <x v="345"/>
    <x v="345"/>
  </r>
  <r>
    <x v="4"/>
    <x v="2"/>
    <x v="4"/>
    <x v="1"/>
    <n v="8"/>
    <x v="346"/>
    <x v="346"/>
  </r>
  <r>
    <x v="3"/>
    <x v="0"/>
    <x v="2"/>
    <x v="0"/>
    <n v="5"/>
    <x v="347"/>
    <x v="347"/>
  </r>
  <r>
    <x v="4"/>
    <x v="3"/>
    <x v="1"/>
    <x v="2"/>
    <n v="6"/>
    <x v="348"/>
    <x v="348"/>
  </r>
  <r>
    <x v="2"/>
    <x v="2"/>
    <x v="4"/>
    <x v="3"/>
    <n v="6"/>
    <x v="349"/>
    <x v="349"/>
  </r>
  <r>
    <x v="0"/>
    <x v="0"/>
    <x v="0"/>
    <x v="0"/>
    <n v="6"/>
    <x v="350"/>
    <x v="350"/>
  </r>
  <r>
    <x v="3"/>
    <x v="0"/>
    <x v="0"/>
    <x v="0"/>
    <n v="7"/>
    <x v="351"/>
    <x v="351"/>
  </r>
  <r>
    <x v="0"/>
    <x v="0"/>
    <x v="1"/>
    <x v="1"/>
    <n v="10"/>
    <x v="352"/>
    <x v="352"/>
  </r>
  <r>
    <x v="3"/>
    <x v="0"/>
    <x v="2"/>
    <x v="4"/>
    <n v="4"/>
    <x v="353"/>
    <x v="353"/>
  </r>
  <r>
    <x v="3"/>
    <x v="2"/>
    <x v="3"/>
    <x v="5"/>
    <n v="7"/>
    <x v="354"/>
    <x v="354"/>
  </r>
  <r>
    <x v="0"/>
    <x v="2"/>
    <x v="4"/>
    <x v="5"/>
    <n v="3"/>
    <x v="355"/>
    <x v="355"/>
  </r>
  <r>
    <x v="0"/>
    <x v="1"/>
    <x v="0"/>
    <x v="3"/>
    <n v="9"/>
    <x v="356"/>
    <x v="356"/>
  </r>
  <r>
    <x v="4"/>
    <x v="2"/>
    <x v="2"/>
    <x v="1"/>
    <n v="9"/>
    <x v="357"/>
    <x v="357"/>
  </r>
  <r>
    <x v="0"/>
    <x v="2"/>
    <x v="2"/>
    <x v="4"/>
    <n v="6"/>
    <x v="358"/>
    <x v="358"/>
  </r>
  <r>
    <x v="3"/>
    <x v="0"/>
    <x v="3"/>
    <x v="1"/>
    <n v="8"/>
    <x v="359"/>
    <x v="359"/>
  </r>
  <r>
    <x v="1"/>
    <x v="1"/>
    <x v="0"/>
    <x v="1"/>
    <n v="10"/>
    <x v="360"/>
    <x v="360"/>
  </r>
  <r>
    <x v="1"/>
    <x v="3"/>
    <x v="4"/>
    <x v="2"/>
    <n v="5"/>
    <x v="361"/>
    <x v="361"/>
  </r>
  <r>
    <x v="3"/>
    <x v="2"/>
    <x v="0"/>
    <x v="1"/>
    <n v="6"/>
    <x v="362"/>
    <x v="362"/>
  </r>
  <r>
    <x v="1"/>
    <x v="1"/>
    <x v="2"/>
    <x v="4"/>
    <n v="3"/>
    <x v="363"/>
    <x v="363"/>
  </r>
  <r>
    <x v="2"/>
    <x v="0"/>
    <x v="1"/>
    <x v="4"/>
    <n v="4"/>
    <x v="364"/>
    <x v="364"/>
  </r>
  <r>
    <x v="4"/>
    <x v="3"/>
    <x v="4"/>
    <x v="1"/>
    <n v="9"/>
    <x v="365"/>
    <x v="365"/>
  </r>
  <r>
    <x v="0"/>
    <x v="0"/>
    <x v="1"/>
    <x v="4"/>
    <n v="6"/>
    <x v="366"/>
    <x v="366"/>
  </r>
  <r>
    <x v="0"/>
    <x v="3"/>
    <x v="2"/>
    <x v="3"/>
    <n v="2"/>
    <x v="367"/>
    <x v="367"/>
  </r>
  <r>
    <x v="2"/>
    <x v="3"/>
    <x v="0"/>
    <x v="3"/>
    <n v="10"/>
    <x v="368"/>
    <x v="368"/>
  </r>
  <r>
    <x v="4"/>
    <x v="1"/>
    <x v="1"/>
    <x v="3"/>
    <n v="8"/>
    <x v="369"/>
    <x v="369"/>
  </r>
  <r>
    <x v="0"/>
    <x v="2"/>
    <x v="1"/>
    <x v="4"/>
    <n v="2"/>
    <x v="370"/>
    <x v="370"/>
  </r>
  <r>
    <x v="3"/>
    <x v="2"/>
    <x v="3"/>
    <x v="0"/>
    <n v="7"/>
    <x v="371"/>
    <x v="371"/>
  </r>
  <r>
    <x v="2"/>
    <x v="2"/>
    <x v="4"/>
    <x v="4"/>
    <n v="7"/>
    <x v="372"/>
    <x v="372"/>
  </r>
  <r>
    <x v="0"/>
    <x v="0"/>
    <x v="1"/>
    <x v="4"/>
    <n v="9"/>
    <x v="373"/>
    <x v="373"/>
  </r>
  <r>
    <x v="3"/>
    <x v="0"/>
    <x v="1"/>
    <x v="2"/>
    <n v="8"/>
    <x v="374"/>
    <x v="374"/>
  </r>
  <r>
    <x v="4"/>
    <x v="0"/>
    <x v="4"/>
    <x v="3"/>
    <n v="8"/>
    <x v="375"/>
    <x v="375"/>
  </r>
  <r>
    <x v="2"/>
    <x v="0"/>
    <x v="4"/>
    <x v="1"/>
    <n v="8"/>
    <x v="376"/>
    <x v="376"/>
  </r>
  <r>
    <x v="3"/>
    <x v="0"/>
    <x v="3"/>
    <x v="0"/>
    <n v="9"/>
    <x v="377"/>
    <x v="377"/>
  </r>
  <r>
    <x v="1"/>
    <x v="1"/>
    <x v="0"/>
    <x v="5"/>
    <n v="7"/>
    <x v="378"/>
    <x v="378"/>
  </r>
  <r>
    <x v="4"/>
    <x v="2"/>
    <x v="0"/>
    <x v="0"/>
    <n v="7"/>
    <x v="379"/>
    <x v="379"/>
  </r>
  <r>
    <x v="0"/>
    <x v="1"/>
    <x v="2"/>
    <x v="3"/>
    <n v="5"/>
    <x v="380"/>
    <x v="380"/>
  </r>
  <r>
    <x v="4"/>
    <x v="0"/>
    <x v="0"/>
    <x v="2"/>
    <n v="6"/>
    <x v="381"/>
    <x v="381"/>
  </r>
  <r>
    <x v="2"/>
    <x v="0"/>
    <x v="2"/>
    <x v="3"/>
    <n v="3"/>
    <x v="382"/>
    <x v="382"/>
  </r>
  <r>
    <x v="1"/>
    <x v="3"/>
    <x v="2"/>
    <x v="2"/>
    <n v="1"/>
    <x v="383"/>
    <x v="383"/>
  </r>
  <r>
    <x v="1"/>
    <x v="3"/>
    <x v="3"/>
    <x v="0"/>
    <n v="8"/>
    <x v="384"/>
    <x v="384"/>
  </r>
  <r>
    <x v="2"/>
    <x v="2"/>
    <x v="3"/>
    <x v="4"/>
    <n v="9"/>
    <x v="385"/>
    <x v="385"/>
  </r>
  <r>
    <x v="2"/>
    <x v="1"/>
    <x v="3"/>
    <x v="0"/>
    <n v="8"/>
    <x v="386"/>
    <x v="386"/>
  </r>
  <r>
    <x v="0"/>
    <x v="0"/>
    <x v="2"/>
    <x v="2"/>
    <n v="4"/>
    <x v="387"/>
    <x v="387"/>
  </r>
  <r>
    <x v="2"/>
    <x v="3"/>
    <x v="3"/>
    <x v="4"/>
    <n v="4"/>
    <x v="388"/>
    <x v="388"/>
  </r>
  <r>
    <x v="0"/>
    <x v="1"/>
    <x v="1"/>
    <x v="4"/>
    <n v="5"/>
    <x v="389"/>
    <x v="389"/>
  </r>
  <r>
    <x v="2"/>
    <x v="0"/>
    <x v="2"/>
    <x v="1"/>
    <n v="10"/>
    <x v="390"/>
    <x v="390"/>
  </r>
  <r>
    <x v="3"/>
    <x v="1"/>
    <x v="1"/>
    <x v="2"/>
    <n v="7"/>
    <x v="391"/>
    <x v="391"/>
  </r>
  <r>
    <x v="4"/>
    <x v="1"/>
    <x v="2"/>
    <x v="2"/>
    <n v="1"/>
    <x v="392"/>
    <x v="392"/>
  </r>
  <r>
    <x v="4"/>
    <x v="3"/>
    <x v="3"/>
    <x v="4"/>
    <n v="10"/>
    <x v="393"/>
    <x v="393"/>
  </r>
  <r>
    <x v="3"/>
    <x v="2"/>
    <x v="1"/>
    <x v="1"/>
    <n v="4"/>
    <x v="394"/>
    <x v="394"/>
  </r>
  <r>
    <x v="4"/>
    <x v="3"/>
    <x v="2"/>
    <x v="1"/>
    <n v="1"/>
    <x v="395"/>
    <x v="395"/>
  </r>
  <r>
    <x v="4"/>
    <x v="2"/>
    <x v="3"/>
    <x v="0"/>
    <n v="5"/>
    <x v="396"/>
    <x v="396"/>
  </r>
  <r>
    <x v="2"/>
    <x v="3"/>
    <x v="3"/>
    <x v="1"/>
    <n v="10"/>
    <x v="397"/>
    <x v="397"/>
  </r>
  <r>
    <x v="1"/>
    <x v="1"/>
    <x v="0"/>
    <x v="5"/>
    <n v="4"/>
    <x v="398"/>
    <x v="398"/>
  </r>
  <r>
    <x v="3"/>
    <x v="2"/>
    <x v="1"/>
    <x v="4"/>
    <n v="7"/>
    <x v="399"/>
    <x v="399"/>
  </r>
  <r>
    <x v="2"/>
    <x v="1"/>
    <x v="4"/>
    <x v="0"/>
    <n v="5"/>
    <x v="400"/>
    <x v="400"/>
  </r>
  <r>
    <x v="2"/>
    <x v="0"/>
    <x v="0"/>
    <x v="1"/>
    <n v="2"/>
    <x v="401"/>
    <x v="401"/>
  </r>
  <r>
    <x v="0"/>
    <x v="1"/>
    <x v="1"/>
    <x v="4"/>
    <n v="10"/>
    <x v="402"/>
    <x v="402"/>
  </r>
  <r>
    <x v="4"/>
    <x v="1"/>
    <x v="1"/>
    <x v="3"/>
    <n v="7"/>
    <x v="402"/>
    <x v="403"/>
  </r>
  <r>
    <x v="1"/>
    <x v="1"/>
    <x v="0"/>
    <x v="3"/>
    <n v="9"/>
    <x v="403"/>
    <x v="404"/>
  </r>
  <r>
    <x v="4"/>
    <x v="2"/>
    <x v="4"/>
    <x v="4"/>
    <n v="5"/>
    <x v="404"/>
    <x v="405"/>
  </r>
  <r>
    <x v="2"/>
    <x v="0"/>
    <x v="3"/>
    <x v="4"/>
    <n v="1"/>
    <x v="405"/>
    <x v="406"/>
  </r>
  <r>
    <x v="3"/>
    <x v="3"/>
    <x v="0"/>
    <x v="4"/>
    <n v="1"/>
    <x v="406"/>
    <x v="407"/>
  </r>
  <r>
    <x v="2"/>
    <x v="0"/>
    <x v="1"/>
    <x v="3"/>
    <n v="1"/>
    <x v="407"/>
    <x v="408"/>
  </r>
  <r>
    <x v="4"/>
    <x v="1"/>
    <x v="3"/>
    <x v="5"/>
    <n v="1"/>
    <x v="408"/>
    <x v="409"/>
  </r>
  <r>
    <x v="4"/>
    <x v="2"/>
    <x v="3"/>
    <x v="4"/>
    <n v="6"/>
    <x v="409"/>
    <x v="410"/>
  </r>
  <r>
    <x v="0"/>
    <x v="1"/>
    <x v="3"/>
    <x v="2"/>
    <n v="6"/>
    <x v="410"/>
    <x v="411"/>
  </r>
  <r>
    <x v="1"/>
    <x v="1"/>
    <x v="4"/>
    <x v="0"/>
    <n v="9"/>
    <x v="411"/>
    <x v="412"/>
  </r>
  <r>
    <x v="4"/>
    <x v="0"/>
    <x v="3"/>
    <x v="3"/>
    <n v="9"/>
    <x v="412"/>
    <x v="413"/>
  </r>
  <r>
    <x v="3"/>
    <x v="3"/>
    <x v="3"/>
    <x v="0"/>
    <n v="10"/>
    <x v="413"/>
    <x v="414"/>
  </r>
  <r>
    <x v="4"/>
    <x v="2"/>
    <x v="2"/>
    <x v="3"/>
    <n v="7"/>
    <x v="414"/>
    <x v="415"/>
  </r>
  <r>
    <x v="4"/>
    <x v="2"/>
    <x v="4"/>
    <x v="0"/>
    <n v="9"/>
    <x v="415"/>
    <x v="416"/>
  </r>
  <r>
    <x v="1"/>
    <x v="3"/>
    <x v="0"/>
    <x v="5"/>
    <n v="9"/>
    <x v="416"/>
    <x v="417"/>
  </r>
  <r>
    <x v="3"/>
    <x v="0"/>
    <x v="0"/>
    <x v="3"/>
    <n v="9"/>
    <x v="417"/>
    <x v="418"/>
  </r>
  <r>
    <x v="0"/>
    <x v="1"/>
    <x v="0"/>
    <x v="3"/>
    <n v="10"/>
    <x v="418"/>
    <x v="419"/>
  </r>
  <r>
    <x v="2"/>
    <x v="0"/>
    <x v="1"/>
    <x v="1"/>
    <n v="7"/>
    <x v="419"/>
    <x v="420"/>
  </r>
  <r>
    <x v="0"/>
    <x v="0"/>
    <x v="3"/>
    <x v="1"/>
    <n v="8"/>
    <x v="420"/>
    <x v="421"/>
  </r>
  <r>
    <x v="4"/>
    <x v="2"/>
    <x v="2"/>
    <x v="2"/>
    <n v="7"/>
    <x v="421"/>
    <x v="422"/>
  </r>
  <r>
    <x v="2"/>
    <x v="0"/>
    <x v="0"/>
    <x v="1"/>
    <n v="6"/>
    <x v="422"/>
    <x v="423"/>
  </r>
  <r>
    <x v="1"/>
    <x v="2"/>
    <x v="1"/>
    <x v="2"/>
    <n v="8"/>
    <x v="423"/>
    <x v="424"/>
  </r>
  <r>
    <x v="2"/>
    <x v="2"/>
    <x v="0"/>
    <x v="4"/>
    <n v="8"/>
    <x v="424"/>
    <x v="425"/>
  </r>
  <r>
    <x v="4"/>
    <x v="3"/>
    <x v="2"/>
    <x v="3"/>
    <n v="4"/>
    <x v="425"/>
    <x v="426"/>
  </r>
  <r>
    <x v="1"/>
    <x v="3"/>
    <x v="1"/>
    <x v="2"/>
    <n v="9"/>
    <x v="426"/>
    <x v="427"/>
  </r>
  <r>
    <x v="0"/>
    <x v="3"/>
    <x v="3"/>
    <x v="3"/>
    <n v="6"/>
    <x v="427"/>
    <x v="428"/>
  </r>
  <r>
    <x v="2"/>
    <x v="1"/>
    <x v="2"/>
    <x v="1"/>
    <n v="6"/>
    <x v="428"/>
    <x v="429"/>
  </r>
  <r>
    <x v="1"/>
    <x v="1"/>
    <x v="3"/>
    <x v="5"/>
    <n v="3"/>
    <x v="429"/>
    <x v="430"/>
  </r>
  <r>
    <x v="4"/>
    <x v="2"/>
    <x v="4"/>
    <x v="2"/>
    <n v="7"/>
    <x v="430"/>
    <x v="431"/>
  </r>
  <r>
    <x v="2"/>
    <x v="2"/>
    <x v="2"/>
    <x v="0"/>
    <n v="2"/>
    <x v="431"/>
    <x v="432"/>
  </r>
  <r>
    <x v="2"/>
    <x v="2"/>
    <x v="0"/>
    <x v="4"/>
    <n v="8"/>
    <x v="432"/>
    <x v="433"/>
  </r>
  <r>
    <x v="0"/>
    <x v="0"/>
    <x v="4"/>
    <x v="5"/>
    <n v="1"/>
    <x v="433"/>
    <x v="434"/>
  </r>
  <r>
    <x v="2"/>
    <x v="1"/>
    <x v="4"/>
    <x v="1"/>
    <n v="5"/>
    <x v="434"/>
    <x v="435"/>
  </r>
  <r>
    <x v="1"/>
    <x v="1"/>
    <x v="4"/>
    <x v="5"/>
    <n v="4"/>
    <x v="435"/>
    <x v="436"/>
  </r>
  <r>
    <x v="4"/>
    <x v="2"/>
    <x v="3"/>
    <x v="5"/>
    <n v="8"/>
    <x v="436"/>
    <x v="437"/>
  </r>
  <r>
    <x v="4"/>
    <x v="3"/>
    <x v="4"/>
    <x v="1"/>
    <n v="3"/>
    <x v="437"/>
    <x v="438"/>
  </r>
  <r>
    <x v="2"/>
    <x v="1"/>
    <x v="0"/>
    <x v="0"/>
    <n v="6"/>
    <x v="438"/>
    <x v="439"/>
  </r>
  <r>
    <x v="0"/>
    <x v="1"/>
    <x v="4"/>
    <x v="1"/>
    <n v="4"/>
    <x v="439"/>
    <x v="440"/>
  </r>
  <r>
    <x v="3"/>
    <x v="0"/>
    <x v="0"/>
    <x v="0"/>
    <n v="8"/>
    <x v="440"/>
    <x v="441"/>
  </r>
  <r>
    <x v="3"/>
    <x v="1"/>
    <x v="0"/>
    <x v="1"/>
    <n v="6"/>
    <x v="441"/>
    <x v="442"/>
  </r>
  <r>
    <x v="4"/>
    <x v="1"/>
    <x v="2"/>
    <x v="5"/>
    <n v="4"/>
    <x v="442"/>
    <x v="443"/>
  </r>
  <r>
    <x v="2"/>
    <x v="3"/>
    <x v="4"/>
    <x v="4"/>
    <n v="8"/>
    <x v="443"/>
    <x v="444"/>
  </r>
  <r>
    <x v="1"/>
    <x v="0"/>
    <x v="3"/>
    <x v="2"/>
    <n v="5"/>
    <x v="444"/>
    <x v="445"/>
  </r>
  <r>
    <x v="4"/>
    <x v="1"/>
    <x v="1"/>
    <x v="4"/>
    <n v="6"/>
    <x v="445"/>
    <x v="446"/>
  </r>
  <r>
    <x v="1"/>
    <x v="1"/>
    <x v="2"/>
    <x v="3"/>
    <n v="7"/>
    <x v="446"/>
    <x v="447"/>
  </r>
  <r>
    <x v="0"/>
    <x v="2"/>
    <x v="2"/>
    <x v="3"/>
    <n v="8"/>
    <x v="447"/>
    <x v="448"/>
  </r>
  <r>
    <x v="2"/>
    <x v="0"/>
    <x v="1"/>
    <x v="4"/>
    <n v="5"/>
    <x v="448"/>
    <x v="449"/>
  </r>
  <r>
    <x v="2"/>
    <x v="0"/>
    <x v="0"/>
    <x v="3"/>
    <n v="1"/>
    <x v="449"/>
    <x v="450"/>
  </r>
  <r>
    <x v="1"/>
    <x v="0"/>
    <x v="2"/>
    <x v="0"/>
    <n v="7"/>
    <x v="450"/>
    <x v="451"/>
  </r>
  <r>
    <x v="0"/>
    <x v="0"/>
    <x v="2"/>
    <x v="5"/>
    <n v="8"/>
    <x v="451"/>
    <x v="452"/>
  </r>
  <r>
    <x v="2"/>
    <x v="2"/>
    <x v="0"/>
    <x v="2"/>
    <n v="7"/>
    <x v="452"/>
    <x v="453"/>
  </r>
  <r>
    <x v="0"/>
    <x v="2"/>
    <x v="0"/>
    <x v="2"/>
    <n v="5"/>
    <x v="453"/>
    <x v="454"/>
  </r>
  <r>
    <x v="1"/>
    <x v="2"/>
    <x v="2"/>
    <x v="1"/>
    <n v="3"/>
    <x v="454"/>
    <x v="455"/>
  </r>
  <r>
    <x v="1"/>
    <x v="2"/>
    <x v="4"/>
    <x v="3"/>
    <n v="2"/>
    <x v="455"/>
    <x v="456"/>
  </r>
  <r>
    <x v="1"/>
    <x v="2"/>
    <x v="1"/>
    <x v="4"/>
    <n v="2"/>
    <x v="456"/>
    <x v="457"/>
  </r>
  <r>
    <x v="4"/>
    <x v="2"/>
    <x v="2"/>
    <x v="0"/>
    <n v="9"/>
    <x v="457"/>
    <x v="458"/>
  </r>
  <r>
    <x v="3"/>
    <x v="2"/>
    <x v="2"/>
    <x v="0"/>
    <n v="8"/>
    <x v="458"/>
    <x v="459"/>
  </r>
  <r>
    <x v="3"/>
    <x v="1"/>
    <x v="4"/>
    <x v="5"/>
    <n v="1"/>
    <x v="459"/>
    <x v="460"/>
  </r>
  <r>
    <x v="1"/>
    <x v="3"/>
    <x v="1"/>
    <x v="0"/>
    <n v="3"/>
    <x v="460"/>
    <x v="461"/>
  </r>
  <r>
    <x v="3"/>
    <x v="1"/>
    <x v="2"/>
    <x v="1"/>
    <n v="3"/>
    <x v="461"/>
    <x v="462"/>
  </r>
  <r>
    <x v="4"/>
    <x v="0"/>
    <x v="1"/>
    <x v="1"/>
    <n v="10"/>
    <x v="462"/>
    <x v="463"/>
  </r>
  <r>
    <x v="4"/>
    <x v="1"/>
    <x v="4"/>
    <x v="5"/>
    <n v="4"/>
    <x v="463"/>
    <x v="464"/>
  </r>
  <r>
    <x v="3"/>
    <x v="1"/>
    <x v="1"/>
    <x v="3"/>
    <n v="1"/>
    <x v="464"/>
    <x v="465"/>
  </r>
  <r>
    <x v="2"/>
    <x v="1"/>
    <x v="3"/>
    <x v="4"/>
    <n v="7"/>
    <x v="465"/>
    <x v="466"/>
  </r>
  <r>
    <x v="0"/>
    <x v="3"/>
    <x v="1"/>
    <x v="3"/>
    <n v="8"/>
    <x v="466"/>
    <x v="467"/>
  </r>
  <r>
    <x v="0"/>
    <x v="0"/>
    <x v="1"/>
    <x v="5"/>
    <n v="5"/>
    <x v="467"/>
    <x v="468"/>
  </r>
  <r>
    <x v="1"/>
    <x v="3"/>
    <x v="3"/>
    <x v="2"/>
    <n v="2"/>
    <x v="468"/>
    <x v="469"/>
  </r>
  <r>
    <x v="4"/>
    <x v="1"/>
    <x v="3"/>
    <x v="2"/>
    <n v="2"/>
    <x v="469"/>
    <x v="470"/>
  </r>
  <r>
    <x v="4"/>
    <x v="0"/>
    <x v="4"/>
    <x v="3"/>
    <n v="3"/>
    <x v="470"/>
    <x v="471"/>
  </r>
  <r>
    <x v="1"/>
    <x v="0"/>
    <x v="1"/>
    <x v="1"/>
    <n v="5"/>
    <x v="471"/>
    <x v="472"/>
  </r>
  <r>
    <x v="4"/>
    <x v="1"/>
    <x v="1"/>
    <x v="5"/>
    <n v="10"/>
    <x v="472"/>
    <x v="473"/>
  </r>
  <r>
    <x v="4"/>
    <x v="3"/>
    <x v="1"/>
    <x v="4"/>
    <n v="8"/>
    <x v="473"/>
    <x v="474"/>
  </r>
  <r>
    <x v="3"/>
    <x v="2"/>
    <x v="1"/>
    <x v="3"/>
    <n v="8"/>
    <x v="474"/>
    <x v="475"/>
  </r>
  <r>
    <x v="0"/>
    <x v="2"/>
    <x v="2"/>
    <x v="5"/>
    <n v="9"/>
    <x v="475"/>
    <x v="476"/>
  </r>
  <r>
    <x v="0"/>
    <x v="3"/>
    <x v="4"/>
    <x v="0"/>
    <n v="9"/>
    <x v="476"/>
    <x v="477"/>
  </r>
  <r>
    <x v="4"/>
    <x v="3"/>
    <x v="0"/>
    <x v="3"/>
    <n v="7"/>
    <x v="477"/>
    <x v="478"/>
  </r>
  <r>
    <x v="4"/>
    <x v="2"/>
    <x v="1"/>
    <x v="0"/>
    <n v="3"/>
    <x v="478"/>
    <x v="479"/>
  </r>
  <r>
    <x v="4"/>
    <x v="0"/>
    <x v="0"/>
    <x v="5"/>
    <n v="3"/>
    <x v="479"/>
    <x v="480"/>
  </r>
  <r>
    <x v="0"/>
    <x v="3"/>
    <x v="2"/>
    <x v="1"/>
    <n v="3"/>
    <x v="480"/>
    <x v="481"/>
  </r>
  <r>
    <x v="3"/>
    <x v="3"/>
    <x v="0"/>
    <x v="4"/>
    <n v="9"/>
    <x v="481"/>
    <x v="482"/>
  </r>
  <r>
    <x v="4"/>
    <x v="2"/>
    <x v="3"/>
    <x v="1"/>
    <n v="4"/>
    <x v="482"/>
    <x v="483"/>
  </r>
  <r>
    <x v="0"/>
    <x v="1"/>
    <x v="1"/>
    <x v="1"/>
    <n v="6"/>
    <x v="483"/>
    <x v="484"/>
  </r>
  <r>
    <x v="1"/>
    <x v="3"/>
    <x v="1"/>
    <x v="0"/>
    <n v="4"/>
    <x v="484"/>
    <x v="485"/>
  </r>
  <r>
    <x v="0"/>
    <x v="3"/>
    <x v="0"/>
    <x v="1"/>
    <n v="10"/>
    <x v="485"/>
    <x v="486"/>
  </r>
  <r>
    <x v="0"/>
    <x v="1"/>
    <x v="1"/>
    <x v="0"/>
    <n v="4"/>
    <x v="486"/>
    <x v="487"/>
  </r>
  <r>
    <x v="0"/>
    <x v="3"/>
    <x v="3"/>
    <x v="4"/>
    <n v="8"/>
    <x v="487"/>
    <x v="488"/>
  </r>
  <r>
    <x v="4"/>
    <x v="1"/>
    <x v="1"/>
    <x v="0"/>
    <n v="8"/>
    <x v="488"/>
    <x v="489"/>
  </r>
  <r>
    <x v="0"/>
    <x v="3"/>
    <x v="2"/>
    <x v="0"/>
    <n v="7"/>
    <x v="489"/>
    <x v="490"/>
  </r>
  <r>
    <x v="3"/>
    <x v="2"/>
    <x v="3"/>
    <x v="2"/>
    <n v="9"/>
    <x v="490"/>
    <x v="491"/>
  </r>
  <r>
    <x v="1"/>
    <x v="2"/>
    <x v="1"/>
    <x v="3"/>
    <n v="6"/>
    <x v="491"/>
    <x v="492"/>
  </r>
  <r>
    <x v="0"/>
    <x v="0"/>
    <x v="2"/>
    <x v="4"/>
    <n v="1"/>
    <x v="492"/>
    <x v="493"/>
  </r>
  <r>
    <x v="1"/>
    <x v="1"/>
    <x v="4"/>
    <x v="1"/>
    <n v="9"/>
    <x v="493"/>
    <x v="494"/>
  </r>
  <r>
    <x v="3"/>
    <x v="0"/>
    <x v="1"/>
    <x v="3"/>
    <n v="1"/>
    <x v="494"/>
    <x v="495"/>
  </r>
  <r>
    <x v="4"/>
    <x v="3"/>
    <x v="1"/>
    <x v="4"/>
    <n v="9"/>
    <x v="495"/>
    <x v="496"/>
  </r>
  <r>
    <x v="0"/>
    <x v="0"/>
    <x v="0"/>
    <x v="1"/>
    <n v="1"/>
    <x v="496"/>
    <x v="497"/>
  </r>
  <r>
    <x v="1"/>
    <x v="0"/>
    <x v="0"/>
    <x v="0"/>
    <n v="7"/>
    <x v="497"/>
    <x v="498"/>
  </r>
  <r>
    <x v="2"/>
    <x v="2"/>
    <x v="2"/>
    <x v="3"/>
    <n v="6"/>
    <x v="498"/>
    <x v="499"/>
  </r>
  <r>
    <x v="1"/>
    <x v="3"/>
    <x v="1"/>
    <x v="4"/>
    <n v="4"/>
    <x v="499"/>
    <x v="500"/>
  </r>
  <r>
    <x v="0"/>
    <x v="1"/>
    <x v="2"/>
    <x v="4"/>
    <n v="9"/>
    <x v="500"/>
    <x v="501"/>
  </r>
  <r>
    <x v="0"/>
    <x v="0"/>
    <x v="0"/>
    <x v="2"/>
    <n v="8"/>
    <x v="501"/>
    <x v="502"/>
  </r>
  <r>
    <x v="1"/>
    <x v="0"/>
    <x v="3"/>
    <x v="5"/>
    <n v="4"/>
    <x v="341"/>
    <x v="503"/>
  </r>
  <r>
    <x v="4"/>
    <x v="0"/>
    <x v="4"/>
    <x v="3"/>
    <n v="3"/>
    <x v="502"/>
    <x v="504"/>
  </r>
  <r>
    <x v="0"/>
    <x v="1"/>
    <x v="3"/>
    <x v="5"/>
    <n v="10"/>
    <x v="503"/>
    <x v="505"/>
  </r>
  <r>
    <x v="1"/>
    <x v="3"/>
    <x v="3"/>
    <x v="0"/>
    <n v="1"/>
    <x v="504"/>
    <x v="506"/>
  </r>
  <r>
    <x v="2"/>
    <x v="3"/>
    <x v="1"/>
    <x v="4"/>
    <n v="2"/>
    <x v="505"/>
    <x v="507"/>
  </r>
  <r>
    <x v="2"/>
    <x v="2"/>
    <x v="2"/>
    <x v="5"/>
    <n v="4"/>
    <x v="506"/>
    <x v="508"/>
  </r>
  <r>
    <x v="2"/>
    <x v="3"/>
    <x v="4"/>
    <x v="5"/>
    <n v="2"/>
    <x v="507"/>
    <x v="509"/>
  </r>
  <r>
    <x v="1"/>
    <x v="3"/>
    <x v="4"/>
    <x v="0"/>
    <n v="5"/>
    <x v="508"/>
    <x v="510"/>
  </r>
  <r>
    <x v="3"/>
    <x v="1"/>
    <x v="2"/>
    <x v="4"/>
    <n v="6"/>
    <x v="509"/>
    <x v="511"/>
  </r>
  <r>
    <x v="4"/>
    <x v="0"/>
    <x v="4"/>
    <x v="5"/>
    <n v="7"/>
    <x v="510"/>
    <x v="512"/>
  </r>
  <r>
    <x v="2"/>
    <x v="2"/>
    <x v="3"/>
    <x v="3"/>
    <n v="9"/>
    <x v="511"/>
    <x v="513"/>
  </r>
  <r>
    <x v="2"/>
    <x v="1"/>
    <x v="1"/>
    <x v="5"/>
    <n v="1"/>
    <x v="512"/>
    <x v="514"/>
  </r>
  <r>
    <x v="2"/>
    <x v="1"/>
    <x v="3"/>
    <x v="3"/>
    <n v="9"/>
    <x v="513"/>
    <x v="515"/>
  </r>
  <r>
    <x v="1"/>
    <x v="2"/>
    <x v="4"/>
    <x v="4"/>
    <n v="4"/>
    <x v="514"/>
    <x v="516"/>
  </r>
  <r>
    <x v="2"/>
    <x v="3"/>
    <x v="0"/>
    <x v="1"/>
    <n v="2"/>
    <x v="515"/>
    <x v="517"/>
  </r>
  <r>
    <x v="0"/>
    <x v="0"/>
    <x v="0"/>
    <x v="1"/>
    <n v="10"/>
    <x v="516"/>
    <x v="518"/>
  </r>
  <r>
    <x v="0"/>
    <x v="2"/>
    <x v="4"/>
    <x v="3"/>
    <n v="8"/>
    <x v="517"/>
    <x v="519"/>
  </r>
  <r>
    <x v="1"/>
    <x v="3"/>
    <x v="4"/>
    <x v="2"/>
    <n v="7"/>
    <x v="518"/>
    <x v="520"/>
  </r>
  <r>
    <x v="3"/>
    <x v="0"/>
    <x v="1"/>
    <x v="0"/>
    <n v="4"/>
    <x v="519"/>
    <x v="521"/>
  </r>
  <r>
    <x v="2"/>
    <x v="3"/>
    <x v="0"/>
    <x v="4"/>
    <n v="9"/>
    <x v="520"/>
    <x v="522"/>
  </r>
  <r>
    <x v="1"/>
    <x v="1"/>
    <x v="3"/>
    <x v="5"/>
    <n v="10"/>
    <x v="521"/>
    <x v="523"/>
  </r>
  <r>
    <x v="4"/>
    <x v="2"/>
    <x v="0"/>
    <x v="4"/>
    <n v="6"/>
    <x v="522"/>
    <x v="524"/>
  </r>
  <r>
    <x v="1"/>
    <x v="1"/>
    <x v="4"/>
    <x v="4"/>
    <n v="9"/>
    <x v="523"/>
    <x v="525"/>
  </r>
  <r>
    <x v="2"/>
    <x v="0"/>
    <x v="1"/>
    <x v="2"/>
    <n v="3"/>
    <x v="524"/>
    <x v="526"/>
  </r>
  <r>
    <x v="1"/>
    <x v="3"/>
    <x v="1"/>
    <x v="5"/>
    <n v="9"/>
    <x v="525"/>
    <x v="527"/>
  </r>
  <r>
    <x v="4"/>
    <x v="0"/>
    <x v="2"/>
    <x v="0"/>
    <n v="5"/>
    <x v="526"/>
    <x v="528"/>
  </r>
  <r>
    <x v="3"/>
    <x v="1"/>
    <x v="0"/>
    <x v="3"/>
    <n v="2"/>
    <x v="527"/>
    <x v="529"/>
  </r>
  <r>
    <x v="1"/>
    <x v="2"/>
    <x v="0"/>
    <x v="1"/>
    <n v="6"/>
    <x v="528"/>
    <x v="530"/>
  </r>
  <r>
    <x v="4"/>
    <x v="1"/>
    <x v="4"/>
    <x v="0"/>
    <n v="1"/>
    <x v="529"/>
    <x v="531"/>
  </r>
  <r>
    <x v="0"/>
    <x v="0"/>
    <x v="1"/>
    <x v="2"/>
    <n v="5"/>
    <x v="530"/>
    <x v="532"/>
  </r>
  <r>
    <x v="4"/>
    <x v="0"/>
    <x v="0"/>
    <x v="2"/>
    <n v="10"/>
    <x v="531"/>
    <x v="533"/>
  </r>
  <r>
    <x v="2"/>
    <x v="2"/>
    <x v="1"/>
    <x v="0"/>
    <n v="7"/>
    <x v="532"/>
    <x v="534"/>
  </r>
  <r>
    <x v="4"/>
    <x v="2"/>
    <x v="4"/>
    <x v="2"/>
    <n v="7"/>
    <x v="533"/>
    <x v="535"/>
  </r>
  <r>
    <x v="1"/>
    <x v="1"/>
    <x v="2"/>
    <x v="0"/>
    <n v="2"/>
    <x v="534"/>
    <x v="536"/>
  </r>
  <r>
    <x v="3"/>
    <x v="2"/>
    <x v="4"/>
    <x v="5"/>
    <n v="7"/>
    <x v="535"/>
    <x v="537"/>
  </r>
  <r>
    <x v="1"/>
    <x v="1"/>
    <x v="1"/>
    <x v="0"/>
    <n v="8"/>
    <x v="536"/>
    <x v="538"/>
  </r>
  <r>
    <x v="3"/>
    <x v="1"/>
    <x v="4"/>
    <x v="3"/>
    <n v="7"/>
    <x v="537"/>
    <x v="539"/>
  </r>
  <r>
    <x v="2"/>
    <x v="2"/>
    <x v="1"/>
    <x v="3"/>
    <n v="4"/>
    <x v="538"/>
    <x v="540"/>
  </r>
  <r>
    <x v="3"/>
    <x v="3"/>
    <x v="2"/>
    <x v="2"/>
    <n v="4"/>
    <x v="539"/>
    <x v="541"/>
  </r>
  <r>
    <x v="0"/>
    <x v="3"/>
    <x v="2"/>
    <x v="4"/>
    <n v="9"/>
    <x v="540"/>
    <x v="542"/>
  </r>
  <r>
    <x v="0"/>
    <x v="1"/>
    <x v="1"/>
    <x v="3"/>
    <n v="7"/>
    <x v="541"/>
    <x v="543"/>
  </r>
  <r>
    <x v="0"/>
    <x v="3"/>
    <x v="2"/>
    <x v="2"/>
    <n v="6"/>
    <x v="542"/>
    <x v="544"/>
  </r>
  <r>
    <x v="3"/>
    <x v="0"/>
    <x v="0"/>
    <x v="4"/>
    <n v="7"/>
    <x v="543"/>
    <x v="545"/>
  </r>
  <r>
    <x v="3"/>
    <x v="2"/>
    <x v="0"/>
    <x v="2"/>
    <n v="9"/>
    <x v="544"/>
    <x v="546"/>
  </r>
  <r>
    <x v="4"/>
    <x v="1"/>
    <x v="2"/>
    <x v="3"/>
    <n v="3"/>
    <x v="545"/>
    <x v="547"/>
  </r>
  <r>
    <x v="4"/>
    <x v="2"/>
    <x v="2"/>
    <x v="0"/>
    <n v="3"/>
    <x v="546"/>
    <x v="548"/>
  </r>
  <r>
    <x v="4"/>
    <x v="2"/>
    <x v="1"/>
    <x v="5"/>
    <n v="7"/>
    <x v="547"/>
    <x v="549"/>
  </r>
  <r>
    <x v="0"/>
    <x v="0"/>
    <x v="1"/>
    <x v="2"/>
    <n v="9"/>
    <x v="548"/>
    <x v="550"/>
  </r>
  <r>
    <x v="3"/>
    <x v="0"/>
    <x v="1"/>
    <x v="5"/>
    <n v="7"/>
    <x v="549"/>
    <x v="551"/>
  </r>
  <r>
    <x v="3"/>
    <x v="0"/>
    <x v="1"/>
    <x v="1"/>
    <n v="1"/>
    <x v="550"/>
    <x v="552"/>
  </r>
  <r>
    <x v="1"/>
    <x v="2"/>
    <x v="0"/>
    <x v="1"/>
    <n v="8"/>
    <x v="551"/>
    <x v="553"/>
  </r>
  <r>
    <x v="1"/>
    <x v="1"/>
    <x v="2"/>
    <x v="4"/>
    <n v="5"/>
    <x v="552"/>
    <x v="554"/>
  </r>
  <r>
    <x v="0"/>
    <x v="1"/>
    <x v="2"/>
    <x v="4"/>
    <n v="6"/>
    <x v="553"/>
    <x v="555"/>
  </r>
  <r>
    <x v="1"/>
    <x v="3"/>
    <x v="2"/>
    <x v="1"/>
    <n v="10"/>
    <x v="554"/>
    <x v="556"/>
  </r>
  <r>
    <x v="4"/>
    <x v="1"/>
    <x v="4"/>
    <x v="1"/>
    <n v="8"/>
    <x v="555"/>
    <x v="557"/>
  </r>
  <r>
    <x v="2"/>
    <x v="2"/>
    <x v="0"/>
    <x v="3"/>
    <n v="8"/>
    <x v="556"/>
    <x v="558"/>
  </r>
  <r>
    <x v="4"/>
    <x v="0"/>
    <x v="0"/>
    <x v="0"/>
    <n v="6"/>
    <x v="557"/>
    <x v="559"/>
  </r>
  <r>
    <x v="1"/>
    <x v="3"/>
    <x v="4"/>
    <x v="2"/>
    <n v="3"/>
    <x v="558"/>
    <x v="560"/>
  </r>
  <r>
    <x v="4"/>
    <x v="2"/>
    <x v="3"/>
    <x v="0"/>
    <n v="1"/>
    <x v="559"/>
    <x v="561"/>
  </r>
  <r>
    <x v="1"/>
    <x v="3"/>
    <x v="3"/>
    <x v="5"/>
    <n v="3"/>
    <x v="560"/>
    <x v="562"/>
  </r>
  <r>
    <x v="3"/>
    <x v="0"/>
    <x v="3"/>
    <x v="3"/>
    <n v="10"/>
    <x v="561"/>
    <x v="563"/>
  </r>
  <r>
    <x v="2"/>
    <x v="0"/>
    <x v="4"/>
    <x v="1"/>
    <n v="4"/>
    <x v="562"/>
    <x v="564"/>
  </r>
  <r>
    <x v="2"/>
    <x v="2"/>
    <x v="4"/>
    <x v="4"/>
    <n v="7"/>
    <x v="563"/>
    <x v="565"/>
  </r>
  <r>
    <x v="3"/>
    <x v="1"/>
    <x v="1"/>
    <x v="3"/>
    <n v="1"/>
    <x v="564"/>
    <x v="566"/>
  </r>
  <r>
    <x v="1"/>
    <x v="3"/>
    <x v="2"/>
    <x v="0"/>
    <n v="8"/>
    <x v="565"/>
    <x v="567"/>
  </r>
  <r>
    <x v="2"/>
    <x v="3"/>
    <x v="3"/>
    <x v="4"/>
    <n v="4"/>
    <x v="566"/>
    <x v="568"/>
  </r>
  <r>
    <x v="1"/>
    <x v="2"/>
    <x v="0"/>
    <x v="0"/>
    <n v="4"/>
    <x v="567"/>
    <x v="569"/>
  </r>
  <r>
    <x v="0"/>
    <x v="1"/>
    <x v="4"/>
    <x v="3"/>
    <n v="6"/>
    <x v="568"/>
    <x v="570"/>
  </r>
  <r>
    <x v="3"/>
    <x v="1"/>
    <x v="0"/>
    <x v="4"/>
    <n v="5"/>
    <x v="569"/>
    <x v="571"/>
  </r>
  <r>
    <x v="1"/>
    <x v="2"/>
    <x v="4"/>
    <x v="0"/>
    <n v="9"/>
    <x v="570"/>
    <x v="572"/>
  </r>
  <r>
    <x v="3"/>
    <x v="0"/>
    <x v="3"/>
    <x v="3"/>
    <n v="10"/>
    <x v="571"/>
    <x v="573"/>
  </r>
  <r>
    <x v="0"/>
    <x v="0"/>
    <x v="3"/>
    <x v="3"/>
    <n v="6"/>
    <x v="572"/>
    <x v="574"/>
  </r>
  <r>
    <x v="3"/>
    <x v="0"/>
    <x v="4"/>
    <x v="0"/>
    <n v="1"/>
    <x v="573"/>
    <x v="575"/>
  </r>
  <r>
    <x v="3"/>
    <x v="1"/>
    <x v="2"/>
    <x v="5"/>
    <n v="8"/>
    <x v="574"/>
    <x v="576"/>
  </r>
  <r>
    <x v="3"/>
    <x v="2"/>
    <x v="3"/>
    <x v="5"/>
    <n v="10"/>
    <x v="575"/>
    <x v="577"/>
  </r>
  <r>
    <x v="3"/>
    <x v="3"/>
    <x v="2"/>
    <x v="4"/>
    <n v="2"/>
    <x v="576"/>
    <x v="578"/>
  </r>
  <r>
    <x v="0"/>
    <x v="3"/>
    <x v="1"/>
    <x v="3"/>
    <n v="6"/>
    <x v="577"/>
    <x v="579"/>
  </r>
  <r>
    <x v="0"/>
    <x v="1"/>
    <x v="3"/>
    <x v="3"/>
    <n v="5"/>
    <x v="578"/>
    <x v="580"/>
  </r>
  <r>
    <x v="4"/>
    <x v="3"/>
    <x v="1"/>
    <x v="3"/>
    <n v="8"/>
    <x v="579"/>
    <x v="581"/>
  </r>
  <r>
    <x v="1"/>
    <x v="1"/>
    <x v="2"/>
    <x v="2"/>
    <n v="1"/>
    <x v="580"/>
    <x v="582"/>
  </r>
  <r>
    <x v="3"/>
    <x v="0"/>
    <x v="2"/>
    <x v="1"/>
    <n v="3"/>
    <x v="581"/>
    <x v="583"/>
  </r>
  <r>
    <x v="2"/>
    <x v="2"/>
    <x v="4"/>
    <x v="4"/>
    <n v="3"/>
    <x v="582"/>
    <x v="584"/>
  </r>
  <r>
    <x v="2"/>
    <x v="0"/>
    <x v="2"/>
    <x v="3"/>
    <n v="8"/>
    <x v="583"/>
    <x v="585"/>
  </r>
  <r>
    <x v="4"/>
    <x v="1"/>
    <x v="0"/>
    <x v="5"/>
    <n v="1"/>
    <x v="584"/>
    <x v="586"/>
  </r>
  <r>
    <x v="4"/>
    <x v="1"/>
    <x v="3"/>
    <x v="2"/>
    <n v="3"/>
    <x v="585"/>
    <x v="587"/>
  </r>
  <r>
    <x v="2"/>
    <x v="0"/>
    <x v="2"/>
    <x v="3"/>
    <n v="7"/>
    <x v="586"/>
    <x v="588"/>
  </r>
  <r>
    <x v="0"/>
    <x v="0"/>
    <x v="4"/>
    <x v="2"/>
    <n v="1"/>
    <x v="587"/>
    <x v="589"/>
  </r>
  <r>
    <x v="2"/>
    <x v="3"/>
    <x v="1"/>
    <x v="4"/>
    <n v="10"/>
    <x v="588"/>
    <x v="590"/>
  </r>
  <r>
    <x v="2"/>
    <x v="3"/>
    <x v="3"/>
    <x v="4"/>
    <n v="5"/>
    <x v="589"/>
    <x v="591"/>
  </r>
  <r>
    <x v="1"/>
    <x v="3"/>
    <x v="4"/>
    <x v="4"/>
    <n v="6"/>
    <x v="590"/>
    <x v="592"/>
  </r>
  <r>
    <x v="2"/>
    <x v="3"/>
    <x v="2"/>
    <x v="3"/>
    <n v="9"/>
    <x v="591"/>
    <x v="593"/>
  </r>
  <r>
    <x v="3"/>
    <x v="1"/>
    <x v="1"/>
    <x v="4"/>
    <n v="8"/>
    <x v="592"/>
    <x v="594"/>
  </r>
  <r>
    <x v="4"/>
    <x v="1"/>
    <x v="1"/>
    <x v="3"/>
    <n v="1"/>
    <x v="593"/>
    <x v="595"/>
  </r>
  <r>
    <x v="3"/>
    <x v="2"/>
    <x v="0"/>
    <x v="2"/>
    <n v="3"/>
    <x v="594"/>
    <x v="596"/>
  </r>
  <r>
    <x v="2"/>
    <x v="3"/>
    <x v="1"/>
    <x v="3"/>
    <n v="5"/>
    <x v="595"/>
    <x v="597"/>
  </r>
  <r>
    <x v="3"/>
    <x v="3"/>
    <x v="0"/>
    <x v="4"/>
    <n v="8"/>
    <x v="596"/>
    <x v="598"/>
  </r>
  <r>
    <x v="2"/>
    <x v="0"/>
    <x v="3"/>
    <x v="3"/>
    <n v="4"/>
    <x v="597"/>
    <x v="599"/>
  </r>
  <r>
    <x v="1"/>
    <x v="0"/>
    <x v="0"/>
    <x v="3"/>
    <n v="1"/>
    <x v="598"/>
    <x v="600"/>
  </r>
  <r>
    <x v="1"/>
    <x v="2"/>
    <x v="2"/>
    <x v="3"/>
    <n v="5"/>
    <x v="599"/>
    <x v="601"/>
  </r>
  <r>
    <x v="1"/>
    <x v="2"/>
    <x v="1"/>
    <x v="3"/>
    <n v="2"/>
    <x v="600"/>
    <x v="602"/>
  </r>
  <r>
    <x v="3"/>
    <x v="1"/>
    <x v="1"/>
    <x v="5"/>
    <n v="2"/>
    <x v="601"/>
    <x v="603"/>
  </r>
  <r>
    <x v="3"/>
    <x v="0"/>
    <x v="0"/>
    <x v="2"/>
    <n v="7"/>
    <x v="602"/>
    <x v="604"/>
  </r>
  <r>
    <x v="0"/>
    <x v="0"/>
    <x v="0"/>
    <x v="1"/>
    <n v="4"/>
    <x v="603"/>
    <x v="605"/>
  </r>
  <r>
    <x v="4"/>
    <x v="1"/>
    <x v="2"/>
    <x v="3"/>
    <n v="10"/>
    <x v="604"/>
    <x v="606"/>
  </r>
  <r>
    <x v="3"/>
    <x v="2"/>
    <x v="1"/>
    <x v="1"/>
    <n v="6"/>
    <x v="605"/>
    <x v="607"/>
  </r>
  <r>
    <x v="1"/>
    <x v="3"/>
    <x v="4"/>
    <x v="1"/>
    <n v="1"/>
    <x v="606"/>
    <x v="608"/>
  </r>
  <r>
    <x v="1"/>
    <x v="0"/>
    <x v="1"/>
    <x v="3"/>
    <n v="9"/>
    <x v="331"/>
    <x v="609"/>
  </r>
  <r>
    <x v="2"/>
    <x v="3"/>
    <x v="2"/>
    <x v="4"/>
    <n v="7"/>
    <x v="607"/>
    <x v="610"/>
  </r>
  <r>
    <x v="0"/>
    <x v="1"/>
    <x v="4"/>
    <x v="0"/>
    <n v="8"/>
    <x v="608"/>
    <x v="611"/>
  </r>
  <r>
    <x v="1"/>
    <x v="3"/>
    <x v="0"/>
    <x v="4"/>
    <n v="3"/>
    <x v="609"/>
    <x v="612"/>
  </r>
  <r>
    <x v="0"/>
    <x v="2"/>
    <x v="3"/>
    <x v="5"/>
    <n v="4"/>
    <x v="610"/>
    <x v="613"/>
  </r>
  <r>
    <x v="3"/>
    <x v="3"/>
    <x v="3"/>
    <x v="3"/>
    <n v="8"/>
    <x v="611"/>
    <x v="614"/>
  </r>
  <r>
    <x v="4"/>
    <x v="1"/>
    <x v="2"/>
    <x v="2"/>
    <n v="4"/>
    <x v="612"/>
    <x v="615"/>
  </r>
  <r>
    <x v="0"/>
    <x v="3"/>
    <x v="2"/>
    <x v="5"/>
    <n v="3"/>
    <x v="613"/>
    <x v="616"/>
  </r>
  <r>
    <x v="4"/>
    <x v="2"/>
    <x v="1"/>
    <x v="0"/>
    <n v="3"/>
    <x v="614"/>
    <x v="617"/>
  </r>
  <r>
    <x v="4"/>
    <x v="0"/>
    <x v="2"/>
    <x v="0"/>
    <n v="9"/>
    <x v="615"/>
    <x v="618"/>
  </r>
  <r>
    <x v="2"/>
    <x v="0"/>
    <x v="1"/>
    <x v="1"/>
    <n v="6"/>
    <x v="616"/>
    <x v="619"/>
  </r>
  <r>
    <x v="1"/>
    <x v="2"/>
    <x v="1"/>
    <x v="2"/>
    <n v="3"/>
    <x v="617"/>
    <x v="620"/>
  </r>
  <r>
    <x v="4"/>
    <x v="0"/>
    <x v="1"/>
    <x v="5"/>
    <n v="5"/>
    <x v="618"/>
    <x v="621"/>
  </r>
  <r>
    <x v="2"/>
    <x v="1"/>
    <x v="4"/>
    <x v="0"/>
    <n v="5"/>
    <x v="619"/>
    <x v="622"/>
  </r>
  <r>
    <x v="1"/>
    <x v="3"/>
    <x v="0"/>
    <x v="5"/>
    <n v="6"/>
    <x v="620"/>
    <x v="623"/>
  </r>
  <r>
    <x v="0"/>
    <x v="0"/>
    <x v="4"/>
    <x v="3"/>
    <n v="9"/>
    <x v="621"/>
    <x v="624"/>
  </r>
  <r>
    <x v="2"/>
    <x v="2"/>
    <x v="3"/>
    <x v="4"/>
    <n v="10"/>
    <x v="622"/>
    <x v="625"/>
  </r>
  <r>
    <x v="1"/>
    <x v="0"/>
    <x v="1"/>
    <x v="3"/>
    <n v="6"/>
    <x v="623"/>
    <x v="626"/>
  </r>
  <r>
    <x v="4"/>
    <x v="0"/>
    <x v="4"/>
    <x v="4"/>
    <n v="2"/>
    <x v="624"/>
    <x v="627"/>
  </r>
  <r>
    <x v="1"/>
    <x v="2"/>
    <x v="0"/>
    <x v="0"/>
    <n v="5"/>
    <x v="625"/>
    <x v="628"/>
  </r>
  <r>
    <x v="4"/>
    <x v="3"/>
    <x v="2"/>
    <x v="5"/>
    <n v="6"/>
    <x v="626"/>
    <x v="629"/>
  </r>
  <r>
    <x v="1"/>
    <x v="1"/>
    <x v="2"/>
    <x v="4"/>
    <n v="7"/>
    <x v="627"/>
    <x v="630"/>
  </r>
  <r>
    <x v="4"/>
    <x v="2"/>
    <x v="2"/>
    <x v="1"/>
    <n v="1"/>
    <x v="628"/>
    <x v="631"/>
  </r>
  <r>
    <x v="4"/>
    <x v="3"/>
    <x v="1"/>
    <x v="0"/>
    <n v="6"/>
    <x v="629"/>
    <x v="632"/>
  </r>
  <r>
    <x v="1"/>
    <x v="1"/>
    <x v="4"/>
    <x v="3"/>
    <n v="2"/>
    <x v="630"/>
    <x v="633"/>
  </r>
  <r>
    <x v="2"/>
    <x v="2"/>
    <x v="0"/>
    <x v="1"/>
    <n v="8"/>
    <x v="631"/>
    <x v="634"/>
  </r>
  <r>
    <x v="1"/>
    <x v="3"/>
    <x v="0"/>
    <x v="0"/>
    <n v="4"/>
    <x v="632"/>
    <x v="2"/>
  </r>
  <r>
    <x v="0"/>
    <x v="0"/>
    <x v="0"/>
    <x v="2"/>
    <n v="2"/>
    <x v="633"/>
    <x v="635"/>
  </r>
  <r>
    <x v="0"/>
    <x v="2"/>
    <x v="3"/>
    <x v="3"/>
    <n v="3"/>
    <x v="634"/>
    <x v="326"/>
  </r>
  <r>
    <x v="0"/>
    <x v="2"/>
    <x v="3"/>
    <x v="2"/>
    <n v="3"/>
    <x v="635"/>
    <x v="636"/>
  </r>
  <r>
    <x v="3"/>
    <x v="3"/>
    <x v="0"/>
    <x v="0"/>
    <n v="9"/>
    <x v="636"/>
    <x v="637"/>
  </r>
  <r>
    <x v="1"/>
    <x v="0"/>
    <x v="0"/>
    <x v="0"/>
    <n v="6"/>
    <x v="637"/>
    <x v="638"/>
  </r>
  <r>
    <x v="2"/>
    <x v="0"/>
    <x v="0"/>
    <x v="5"/>
    <n v="2"/>
    <x v="638"/>
    <x v="639"/>
  </r>
  <r>
    <x v="3"/>
    <x v="2"/>
    <x v="3"/>
    <x v="2"/>
    <n v="5"/>
    <x v="639"/>
    <x v="640"/>
  </r>
  <r>
    <x v="1"/>
    <x v="3"/>
    <x v="1"/>
    <x v="0"/>
    <n v="8"/>
    <x v="640"/>
    <x v="641"/>
  </r>
  <r>
    <x v="3"/>
    <x v="0"/>
    <x v="1"/>
    <x v="1"/>
    <n v="8"/>
    <x v="641"/>
    <x v="642"/>
  </r>
  <r>
    <x v="4"/>
    <x v="0"/>
    <x v="2"/>
    <x v="4"/>
    <n v="8"/>
    <x v="642"/>
    <x v="643"/>
  </r>
  <r>
    <x v="4"/>
    <x v="1"/>
    <x v="4"/>
    <x v="0"/>
    <n v="8"/>
    <x v="643"/>
    <x v="644"/>
  </r>
  <r>
    <x v="3"/>
    <x v="1"/>
    <x v="3"/>
    <x v="0"/>
    <n v="9"/>
    <x v="644"/>
    <x v="645"/>
  </r>
  <r>
    <x v="3"/>
    <x v="1"/>
    <x v="1"/>
    <x v="3"/>
    <n v="4"/>
    <x v="645"/>
    <x v="646"/>
  </r>
  <r>
    <x v="0"/>
    <x v="3"/>
    <x v="1"/>
    <x v="1"/>
    <n v="8"/>
    <x v="143"/>
    <x v="647"/>
  </r>
  <r>
    <x v="4"/>
    <x v="1"/>
    <x v="2"/>
    <x v="2"/>
    <n v="10"/>
    <x v="646"/>
    <x v="648"/>
  </r>
  <r>
    <x v="3"/>
    <x v="3"/>
    <x v="0"/>
    <x v="5"/>
    <n v="8"/>
    <x v="647"/>
    <x v="649"/>
  </r>
  <r>
    <x v="4"/>
    <x v="1"/>
    <x v="0"/>
    <x v="5"/>
    <n v="1"/>
    <x v="648"/>
    <x v="650"/>
  </r>
  <r>
    <x v="0"/>
    <x v="3"/>
    <x v="2"/>
    <x v="2"/>
    <n v="4"/>
    <x v="649"/>
    <x v="651"/>
  </r>
  <r>
    <x v="4"/>
    <x v="2"/>
    <x v="2"/>
    <x v="2"/>
    <n v="9"/>
    <x v="650"/>
    <x v="652"/>
  </r>
  <r>
    <x v="3"/>
    <x v="0"/>
    <x v="0"/>
    <x v="0"/>
    <n v="1"/>
    <x v="651"/>
    <x v="653"/>
  </r>
  <r>
    <x v="1"/>
    <x v="1"/>
    <x v="0"/>
    <x v="2"/>
    <n v="5"/>
    <x v="652"/>
    <x v="654"/>
  </r>
  <r>
    <x v="1"/>
    <x v="0"/>
    <x v="2"/>
    <x v="2"/>
    <n v="4"/>
    <x v="653"/>
    <x v="655"/>
  </r>
  <r>
    <x v="2"/>
    <x v="1"/>
    <x v="0"/>
    <x v="5"/>
    <n v="3"/>
    <x v="654"/>
    <x v="656"/>
  </r>
  <r>
    <x v="2"/>
    <x v="2"/>
    <x v="1"/>
    <x v="5"/>
    <n v="7"/>
    <x v="655"/>
    <x v="657"/>
  </r>
  <r>
    <x v="3"/>
    <x v="3"/>
    <x v="4"/>
    <x v="0"/>
    <n v="1"/>
    <x v="656"/>
    <x v="658"/>
  </r>
  <r>
    <x v="4"/>
    <x v="1"/>
    <x v="3"/>
    <x v="1"/>
    <n v="9"/>
    <x v="657"/>
    <x v="659"/>
  </r>
  <r>
    <x v="0"/>
    <x v="2"/>
    <x v="4"/>
    <x v="2"/>
    <n v="10"/>
    <x v="658"/>
    <x v="660"/>
  </r>
  <r>
    <x v="1"/>
    <x v="3"/>
    <x v="1"/>
    <x v="3"/>
    <n v="5"/>
    <x v="659"/>
    <x v="661"/>
  </r>
  <r>
    <x v="2"/>
    <x v="3"/>
    <x v="1"/>
    <x v="5"/>
    <n v="9"/>
    <x v="660"/>
    <x v="662"/>
  </r>
  <r>
    <x v="0"/>
    <x v="1"/>
    <x v="4"/>
    <x v="2"/>
    <n v="5"/>
    <x v="661"/>
    <x v="663"/>
  </r>
  <r>
    <x v="3"/>
    <x v="2"/>
    <x v="0"/>
    <x v="3"/>
    <n v="3"/>
    <x v="662"/>
    <x v="664"/>
  </r>
  <r>
    <x v="3"/>
    <x v="2"/>
    <x v="4"/>
    <x v="4"/>
    <n v="4"/>
    <x v="663"/>
    <x v="665"/>
  </r>
  <r>
    <x v="3"/>
    <x v="1"/>
    <x v="4"/>
    <x v="5"/>
    <n v="3"/>
    <x v="664"/>
    <x v="666"/>
  </r>
  <r>
    <x v="1"/>
    <x v="0"/>
    <x v="3"/>
    <x v="1"/>
    <n v="1"/>
    <x v="665"/>
    <x v="667"/>
  </r>
  <r>
    <x v="1"/>
    <x v="1"/>
    <x v="3"/>
    <x v="1"/>
    <n v="4"/>
    <x v="666"/>
    <x v="668"/>
  </r>
  <r>
    <x v="3"/>
    <x v="2"/>
    <x v="4"/>
    <x v="2"/>
    <n v="7"/>
    <x v="667"/>
    <x v="669"/>
  </r>
  <r>
    <x v="0"/>
    <x v="0"/>
    <x v="0"/>
    <x v="4"/>
    <n v="8"/>
    <x v="668"/>
    <x v="670"/>
  </r>
  <r>
    <x v="0"/>
    <x v="0"/>
    <x v="3"/>
    <x v="5"/>
    <n v="4"/>
    <x v="669"/>
    <x v="671"/>
  </r>
  <r>
    <x v="3"/>
    <x v="1"/>
    <x v="3"/>
    <x v="5"/>
    <n v="6"/>
    <x v="670"/>
    <x v="672"/>
  </r>
  <r>
    <x v="2"/>
    <x v="3"/>
    <x v="4"/>
    <x v="0"/>
    <n v="1"/>
    <x v="671"/>
    <x v="673"/>
  </r>
  <r>
    <x v="3"/>
    <x v="1"/>
    <x v="0"/>
    <x v="5"/>
    <n v="7"/>
    <x v="672"/>
    <x v="674"/>
  </r>
  <r>
    <x v="3"/>
    <x v="0"/>
    <x v="4"/>
    <x v="1"/>
    <n v="3"/>
    <x v="673"/>
    <x v="675"/>
  </r>
  <r>
    <x v="3"/>
    <x v="2"/>
    <x v="0"/>
    <x v="1"/>
    <n v="3"/>
    <x v="674"/>
    <x v="676"/>
  </r>
  <r>
    <x v="1"/>
    <x v="0"/>
    <x v="0"/>
    <x v="1"/>
    <n v="10"/>
    <x v="675"/>
    <x v="677"/>
  </r>
  <r>
    <x v="2"/>
    <x v="2"/>
    <x v="3"/>
    <x v="2"/>
    <n v="9"/>
    <x v="676"/>
    <x v="678"/>
  </r>
  <r>
    <x v="0"/>
    <x v="1"/>
    <x v="3"/>
    <x v="0"/>
    <n v="3"/>
    <x v="677"/>
    <x v="679"/>
  </r>
  <r>
    <x v="4"/>
    <x v="2"/>
    <x v="1"/>
    <x v="1"/>
    <n v="3"/>
    <x v="542"/>
    <x v="680"/>
  </r>
  <r>
    <x v="0"/>
    <x v="0"/>
    <x v="3"/>
    <x v="4"/>
    <n v="2"/>
    <x v="678"/>
    <x v="681"/>
  </r>
  <r>
    <x v="0"/>
    <x v="2"/>
    <x v="4"/>
    <x v="0"/>
    <n v="1"/>
    <x v="679"/>
    <x v="682"/>
  </r>
  <r>
    <x v="0"/>
    <x v="3"/>
    <x v="3"/>
    <x v="1"/>
    <n v="1"/>
    <x v="680"/>
    <x v="683"/>
  </r>
  <r>
    <x v="3"/>
    <x v="0"/>
    <x v="3"/>
    <x v="5"/>
    <n v="7"/>
    <x v="681"/>
    <x v="684"/>
  </r>
  <r>
    <x v="3"/>
    <x v="0"/>
    <x v="1"/>
    <x v="4"/>
    <n v="3"/>
    <x v="682"/>
    <x v="685"/>
  </r>
  <r>
    <x v="4"/>
    <x v="0"/>
    <x v="1"/>
    <x v="2"/>
    <n v="6"/>
    <x v="683"/>
    <x v="686"/>
  </r>
  <r>
    <x v="0"/>
    <x v="2"/>
    <x v="2"/>
    <x v="3"/>
    <n v="3"/>
    <x v="684"/>
    <x v="589"/>
  </r>
  <r>
    <x v="1"/>
    <x v="0"/>
    <x v="0"/>
    <x v="2"/>
    <n v="6"/>
    <x v="685"/>
    <x v="687"/>
  </r>
  <r>
    <x v="0"/>
    <x v="1"/>
    <x v="2"/>
    <x v="0"/>
    <n v="3"/>
    <x v="686"/>
    <x v="688"/>
  </r>
  <r>
    <x v="3"/>
    <x v="2"/>
    <x v="4"/>
    <x v="3"/>
    <n v="7"/>
    <x v="687"/>
    <x v="689"/>
  </r>
  <r>
    <x v="2"/>
    <x v="1"/>
    <x v="0"/>
    <x v="3"/>
    <n v="4"/>
    <x v="688"/>
    <x v="690"/>
  </r>
  <r>
    <x v="2"/>
    <x v="2"/>
    <x v="0"/>
    <x v="0"/>
    <n v="7"/>
    <x v="689"/>
    <x v="691"/>
  </r>
  <r>
    <x v="2"/>
    <x v="0"/>
    <x v="2"/>
    <x v="2"/>
    <n v="2"/>
    <x v="690"/>
    <x v="692"/>
  </r>
  <r>
    <x v="3"/>
    <x v="0"/>
    <x v="1"/>
    <x v="1"/>
    <n v="6"/>
    <x v="691"/>
    <x v="693"/>
  </r>
  <r>
    <x v="2"/>
    <x v="3"/>
    <x v="2"/>
    <x v="0"/>
    <n v="9"/>
    <x v="692"/>
    <x v="694"/>
  </r>
  <r>
    <x v="0"/>
    <x v="2"/>
    <x v="0"/>
    <x v="1"/>
    <n v="10"/>
    <x v="693"/>
    <x v="695"/>
  </r>
  <r>
    <x v="3"/>
    <x v="2"/>
    <x v="4"/>
    <x v="4"/>
    <n v="9"/>
    <x v="694"/>
    <x v="696"/>
  </r>
  <r>
    <x v="3"/>
    <x v="3"/>
    <x v="2"/>
    <x v="4"/>
    <n v="4"/>
    <x v="695"/>
    <x v="697"/>
  </r>
  <r>
    <x v="0"/>
    <x v="2"/>
    <x v="2"/>
    <x v="1"/>
    <n v="4"/>
    <x v="696"/>
    <x v="698"/>
  </r>
  <r>
    <x v="4"/>
    <x v="3"/>
    <x v="1"/>
    <x v="1"/>
    <n v="9"/>
    <x v="697"/>
    <x v="699"/>
  </r>
  <r>
    <x v="1"/>
    <x v="1"/>
    <x v="3"/>
    <x v="5"/>
    <n v="10"/>
    <x v="698"/>
    <x v="700"/>
  </r>
  <r>
    <x v="4"/>
    <x v="1"/>
    <x v="1"/>
    <x v="4"/>
    <n v="7"/>
    <x v="699"/>
    <x v="701"/>
  </r>
  <r>
    <x v="1"/>
    <x v="2"/>
    <x v="1"/>
    <x v="5"/>
    <n v="10"/>
    <x v="700"/>
    <x v="702"/>
  </r>
  <r>
    <x v="2"/>
    <x v="0"/>
    <x v="2"/>
    <x v="4"/>
    <n v="8"/>
    <x v="701"/>
    <x v="703"/>
  </r>
  <r>
    <x v="3"/>
    <x v="3"/>
    <x v="2"/>
    <x v="0"/>
    <n v="8"/>
    <x v="702"/>
    <x v="704"/>
  </r>
  <r>
    <x v="1"/>
    <x v="0"/>
    <x v="3"/>
    <x v="4"/>
    <n v="2"/>
    <x v="703"/>
    <x v="705"/>
  </r>
  <r>
    <x v="1"/>
    <x v="0"/>
    <x v="1"/>
    <x v="3"/>
    <n v="2"/>
    <x v="704"/>
    <x v="706"/>
  </r>
  <r>
    <x v="3"/>
    <x v="1"/>
    <x v="2"/>
    <x v="2"/>
    <n v="4"/>
    <x v="705"/>
    <x v="707"/>
  </r>
  <r>
    <x v="2"/>
    <x v="1"/>
    <x v="1"/>
    <x v="5"/>
    <n v="10"/>
    <x v="706"/>
    <x v="708"/>
  </r>
  <r>
    <x v="4"/>
    <x v="2"/>
    <x v="2"/>
    <x v="2"/>
    <n v="5"/>
    <x v="707"/>
    <x v="709"/>
  </r>
  <r>
    <x v="2"/>
    <x v="3"/>
    <x v="1"/>
    <x v="0"/>
    <n v="10"/>
    <x v="708"/>
    <x v="710"/>
  </r>
  <r>
    <x v="2"/>
    <x v="3"/>
    <x v="1"/>
    <x v="0"/>
    <n v="2"/>
    <x v="709"/>
    <x v="711"/>
  </r>
  <r>
    <x v="0"/>
    <x v="0"/>
    <x v="2"/>
    <x v="1"/>
    <n v="6"/>
    <x v="710"/>
    <x v="712"/>
  </r>
  <r>
    <x v="1"/>
    <x v="0"/>
    <x v="4"/>
    <x v="0"/>
    <n v="1"/>
    <x v="711"/>
    <x v="713"/>
  </r>
  <r>
    <x v="2"/>
    <x v="3"/>
    <x v="3"/>
    <x v="1"/>
    <n v="4"/>
    <x v="712"/>
    <x v="714"/>
  </r>
  <r>
    <x v="2"/>
    <x v="0"/>
    <x v="0"/>
    <x v="1"/>
    <n v="8"/>
    <x v="713"/>
    <x v="715"/>
  </r>
  <r>
    <x v="3"/>
    <x v="3"/>
    <x v="4"/>
    <x v="2"/>
    <n v="9"/>
    <x v="714"/>
    <x v="716"/>
  </r>
  <r>
    <x v="3"/>
    <x v="1"/>
    <x v="2"/>
    <x v="4"/>
    <n v="8"/>
    <x v="50"/>
    <x v="717"/>
  </r>
  <r>
    <x v="2"/>
    <x v="3"/>
    <x v="1"/>
    <x v="0"/>
    <n v="4"/>
    <x v="715"/>
    <x v="718"/>
  </r>
  <r>
    <x v="3"/>
    <x v="0"/>
    <x v="0"/>
    <x v="0"/>
    <n v="10"/>
    <x v="716"/>
    <x v="719"/>
  </r>
  <r>
    <x v="2"/>
    <x v="0"/>
    <x v="3"/>
    <x v="2"/>
    <n v="8"/>
    <x v="717"/>
    <x v="720"/>
  </r>
  <r>
    <x v="0"/>
    <x v="1"/>
    <x v="3"/>
    <x v="4"/>
    <n v="4"/>
    <x v="718"/>
    <x v="721"/>
  </r>
  <r>
    <x v="2"/>
    <x v="2"/>
    <x v="1"/>
    <x v="4"/>
    <n v="2"/>
    <x v="719"/>
    <x v="722"/>
  </r>
  <r>
    <x v="4"/>
    <x v="3"/>
    <x v="4"/>
    <x v="0"/>
    <n v="7"/>
    <x v="720"/>
    <x v="723"/>
  </r>
  <r>
    <x v="1"/>
    <x v="1"/>
    <x v="1"/>
    <x v="3"/>
    <n v="10"/>
    <x v="721"/>
    <x v="724"/>
  </r>
  <r>
    <x v="2"/>
    <x v="0"/>
    <x v="4"/>
    <x v="5"/>
    <n v="9"/>
    <x v="722"/>
    <x v="725"/>
  </r>
  <r>
    <x v="1"/>
    <x v="3"/>
    <x v="2"/>
    <x v="2"/>
    <n v="8"/>
    <x v="723"/>
    <x v="726"/>
  </r>
  <r>
    <x v="3"/>
    <x v="0"/>
    <x v="2"/>
    <x v="3"/>
    <n v="7"/>
    <x v="724"/>
    <x v="727"/>
  </r>
  <r>
    <x v="0"/>
    <x v="0"/>
    <x v="2"/>
    <x v="3"/>
    <n v="8"/>
    <x v="725"/>
    <x v="728"/>
  </r>
  <r>
    <x v="3"/>
    <x v="2"/>
    <x v="4"/>
    <x v="3"/>
    <n v="1"/>
    <x v="726"/>
    <x v="729"/>
  </r>
  <r>
    <x v="1"/>
    <x v="0"/>
    <x v="0"/>
    <x v="3"/>
    <n v="6"/>
    <x v="727"/>
    <x v="730"/>
  </r>
  <r>
    <x v="1"/>
    <x v="0"/>
    <x v="4"/>
    <x v="5"/>
    <n v="5"/>
    <x v="728"/>
    <x v="731"/>
  </r>
  <r>
    <x v="4"/>
    <x v="0"/>
    <x v="4"/>
    <x v="1"/>
    <n v="5"/>
    <x v="729"/>
    <x v="732"/>
  </r>
  <r>
    <x v="1"/>
    <x v="3"/>
    <x v="0"/>
    <x v="0"/>
    <n v="2"/>
    <x v="730"/>
    <x v="733"/>
  </r>
  <r>
    <x v="2"/>
    <x v="3"/>
    <x v="3"/>
    <x v="5"/>
    <n v="3"/>
    <x v="731"/>
    <x v="734"/>
  </r>
  <r>
    <x v="1"/>
    <x v="2"/>
    <x v="3"/>
    <x v="2"/>
    <n v="1"/>
    <x v="732"/>
    <x v="735"/>
  </r>
  <r>
    <x v="0"/>
    <x v="2"/>
    <x v="0"/>
    <x v="1"/>
    <n v="3"/>
    <x v="389"/>
    <x v="736"/>
  </r>
  <r>
    <x v="1"/>
    <x v="2"/>
    <x v="2"/>
    <x v="5"/>
    <n v="4"/>
    <x v="733"/>
    <x v="737"/>
  </r>
  <r>
    <x v="3"/>
    <x v="2"/>
    <x v="1"/>
    <x v="5"/>
    <n v="6"/>
    <x v="734"/>
    <x v="738"/>
  </r>
  <r>
    <x v="0"/>
    <x v="0"/>
    <x v="0"/>
    <x v="3"/>
    <n v="10"/>
    <x v="735"/>
    <x v="739"/>
  </r>
  <r>
    <x v="3"/>
    <x v="1"/>
    <x v="4"/>
    <x v="5"/>
    <n v="9"/>
    <x v="736"/>
    <x v="740"/>
  </r>
  <r>
    <x v="4"/>
    <x v="3"/>
    <x v="0"/>
    <x v="1"/>
    <n v="6"/>
    <x v="737"/>
    <x v="741"/>
  </r>
  <r>
    <x v="4"/>
    <x v="3"/>
    <x v="0"/>
    <x v="5"/>
    <n v="2"/>
    <x v="738"/>
    <x v="742"/>
  </r>
  <r>
    <x v="1"/>
    <x v="1"/>
    <x v="1"/>
    <x v="1"/>
    <n v="3"/>
    <x v="739"/>
    <x v="743"/>
  </r>
  <r>
    <x v="1"/>
    <x v="0"/>
    <x v="1"/>
    <x v="0"/>
    <n v="3"/>
    <x v="38"/>
    <x v="744"/>
  </r>
  <r>
    <x v="0"/>
    <x v="1"/>
    <x v="1"/>
    <x v="1"/>
    <n v="1"/>
    <x v="740"/>
    <x v="745"/>
  </r>
  <r>
    <x v="4"/>
    <x v="0"/>
    <x v="4"/>
    <x v="3"/>
    <n v="1"/>
    <x v="741"/>
    <x v="746"/>
  </r>
  <r>
    <x v="0"/>
    <x v="3"/>
    <x v="0"/>
    <x v="3"/>
    <n v="6"/>
    <x v="742"/>
    <x v="747"/>
  </r>
  <r>
    <x v="4"/>
    <x v="2"/>
    <x v="2"/>
    <x v="3"/>
    <n v="8"/>
    <x v="743"/>
    <x v="110"/>
  </r>
  <r>
    <x v="3"/>
    <x v="3"/>
    <x v="0"/>
    <x v="2"/>
    <n v="7"/>
    <x v="744"/>
    <x v="748"/>
  </r>
  <r>
    <x v="4"/>
    <x v="0"/>
    <x v="4"/>
    <x v="4"/>
    <n v="2"/>
    <x v="745"/>
    <x v="749"/>
  </r>
  <r>
    <x v="1"/>
    <x v="2"/>
    <x v="3"/>
    <x v="4"/>
    <n v="2"/>
    <x v="746"/>
    <x v="750"/>
  </r>
  <r>
    <x v="2"/>
    <x v="1"/>
    <x v="1"/>
    <x v="1"/>
    <n v="2"/>
    <x v="747"/>
    <x v="751"/>
  </r>
  <r>
    <x v="3"/>
    <x v="1"/>
    <x v="3"/>
    <x v="4"/>
    <n v="3"/>
    <x v="748"/>
    <x v="752"/>
  </r>
  <r>
    <x v="4"/>
    <x v="1"/>
    <x v="3"/>
    <x v="1"/>
    <n v="8"/>
    <x v="749"/>
    <x v="753"/>
  </r>
  <r>
    <x v="3"/>
    <x v="3"/>
    <x v="0"/>
    <x v="1"/>
    <n v="10"/>
    <x v="750"/>
    <x v="754"/>
  </r>
  <r>
    <x v="3"/>
    <x v="1"/>
    <x v="3"/>
    <x v="5"/>
    <n v="2"/>
    <x v="751"/>
    <x v="755"/>
  </r>
  <r>
    <x v="0"/>
    <x v="3"/>
    <x v="2"/>
    <x v="1"/>
    <n v="1"/>
    <x v="752"/>
    <x v="756"/>
  </r>
  <r>
    <x v="0"/>
    <x v="1"/>
    <x v="2"/>
    <x v="5"/>
    <n v="6"/>
    <x v="753"/>
    <x v="757"/>
  </r>
  <r>
    <x v="1"/>
    <x v="3"/>
    <x v="2"/>
    <x v="0"/>
    <n v="2"/>
    <x v="260"/>
    <x v="758"/>
  </r>
  <r>
    <x v="4"/>
    <x v="3"/>
    <x v="1"/>
    <x v="5"/>
    <n v="6"/>
    <x v="754"/>
    <x v="759"/>
  </r>
  <r>
    <x v="4"/>
    <x v="0"/>
    <x v="2"/>
    <x v="1"/>
    <n v="5"/>
    <x v="755"/>
    <x v="760"/>
  </r>
  <r>
    <x v="2"/>
    <x v="2"/>
    <x v="2"/>
    <x v="0"/>
    <n v="3"/>
    <x v="756"/>
    <x v="761"/>
  </r>
  <r>
    <x v="2"/>
    <x v="2"/>
    <x v="3"/>
    <x v="4"/>
    <n v="9"/>
    <x v="757"/>
    <x v="762"/>
  </r>
  <r>
    <x v="2"/>
    <x v="3"/>
    <x v="2"/>
    <x v="4"/>
    <n v="1"/>
    <x v="758"/>
    <x v="763"/>
  </r>
  <r>
    <x v="4"/>
    <x v="1"/>
    <x v="2"/>
    <x v="1"/>
    <n v="2"/>
    <x v="759"/>
    <x v="764"/>
  </r>
  <r>
    <x v="2"/>
    <x v="3"/>
    <x v="2"/>
    <x v="5"/>
    <n v="1"/>
    <x v="760"/>
    <x v="765"/>
  </r>
  <r>
    <x v="3"/>
    <x v="1"/>
    <x v="1"/>
    <x v="2"/>
    <n v="10"/>
    <x v="761"/>
    <x v="766"/>
  </r>
  <r>
    <x v="3"/>
    <x v="0"/>
    <x v="3"/>
    <x v="5"/>
    <n v="4"/>
    <x v="762"/>
    <x v="767"/>
  </r>
  <r>
    <x v="4"/>
    <x v="1"/>
    <x v="2"/>
    <x v="2"/>
    <n v="3"/>
    <x v="763"/>
    <x v="768"/>
  </r>
  <r>
    <x v="3"/>
    <x v="1"/>
    <x v="2"/>
    <x v="3"/>
    <n v="5"/>
    <x v="764"/>
    <x v="769"/>
  </r>
  <r>
    <x v="0"/>
    <x v="2"/>
    <x v="1"/>
    <x v="0"/>
    <n v="5"/>
    <x v="765"/>
    <x v="770"/>
  </r>
  <r>
    <x v="4"/>
    <x v="3"/>
    <x v="1"/>
    <x v="4"/>
    <n v="10"/>
    <x v="766"/>
    <x v="771"/>
  </r>
  <r>
    <x v="1"/>
    <x v="1"/>
    <x v="0"/>
    <x v="5"/>
    <n v="3"/>
    <x v="767"/>
    <x v="772"/>
  </r>
  <r>
    <x v="4"/>
    <x v="0"/>
    <x v="1"/>
    <x v="4"/>
    <n v="7"/>
    <x v="768"/>
    <x v="773"/>
  </r>
  <r>
    <x v="4"/>
    <x v="3"/>
    <x v="3"/>
    <x v="4"/>
    <n v="1"/>
    <x v="769"/>
    <x v="774"/>
  </r>
  <r>
    <x v="1"/>
    <x v="0"/>
    <x v="3"/>
    <x v="5"/>
    <n v="7"/>
    <x v="770"/>
    <x v="775"/>
  </r>
  <r>
    <x v="2"/>
    <x v="1"/>
    <x v="2"/>
    <x v="0"/>
    <n v="3"/>
    <x v="771"/>
    <x v="776"/>
  </r>
  <r>
    <x v="1"/>
    <x v="0"/>
    <x v="0"/>
    <x v="0"/>
    <n v="6"/>
    <x v="772"/>
    <x v="777"/>
  </r>
  <r>
    <x v="4"/>
    <x v="0"/>
    <x v="3"/>
    <x v="1"/>
    <n v="9"/>
    <x v="773"/>
    <x v="778"/>
  </r>
  <r>
    <x v="2"/>
    <x v="2"/>
    <x v="0"/>
    <x v="4"/>
    <n v="3"/>
    <x v="774"/>
    <x v="779"/>
  </r>
  <r>
    <x v="2"/>
    <x v="0"/>
    <x v="1"/>
    <x v="5"/>
    <n v="10"/>
    <x v="775"/>
    <x v="780"/>
  </r>
  <r>
    <x v="4"/>
    <x v="1"/>
    <x v="0"/>
    <x v="4"/>
    <n v="1"/>
    <x v="776"/>
    <x v="781"/>
  </r>
  <r>
    <x v="0"/>
    <x v="3"/>
    <x v="2"/>
    <x v="4"/>
    <n v="2"/>
    <x v="777"/>
    <x v="782"/>
  </r>
  <r>
    <x v="2"/>
    <x v="3"/>
    <x v="3"/>
    <x v="4"/>
    <n v="7"/>
    <x v="778"/>
    <x v="783"/>
  </r>
  <r>
    <x v="0"/>
    <x v="2"/>
    <x v="1"/>
    <x v="1"/>
    <n v="4"/>
    <x v="779"/>
    <x v="784"/>
  </r>
  <r>
    <x v="1"/>
    <x v="1"/>
    <x v="2"/>
    <x v="1"/>
    <n v="9"/>
    <x v="780"/>
    <x v="785"/>
  </r>
  <r>
    <x v="2"/>
    <x v="3"/>
    <x v="3"/>
    <x v="0"/>
    <n v="9"/>
    <x v="781"/>
    <x v="786"/>
  </r>
  <r>
    <x v="1"/>
    <x v="0"/>
    <x v="0"/>
    <x v="2"/>
    <n v="5"/>
    <x v="782"/>
    <x v="787"/>
  </r>
  <r>
    <x v="2"/>
    <x v="1"/>
    <x v="2"/>
    <x v="2"/>
    <n v="3"/>
    <x v="783"/>
    <x v="788"/>
  </r>
  <r>
    <x v="4"/>
    <x v="2"/>
    <x v="3"/>
    <x v="2"/>
    <n v="8"/>
    <x v="784"/>
    <x v="789"/>
  </r>
  <r>
    <x v="3"/>
    <x v="3"/>
    <x v="2"/>
    <x v="2"/>
    <n v="7"/>
    <x v="785"/>
    <x v="790"/>
  </r>
  <r>
    <x v="0"/>
    <x v="0"/>
    <x v="1"/>
    <x v="4"/>
    <n v="8"/>
    <x v="786"/>
    <x v="791"/>
  </r>
  <r>
    <x v="1"/>
    <x v="1"/>
    <x v="1"/>
    <x v="2"/>
    <n v="1"/>
    <x v="787"/>
    <x v="792"/>
  </r>
  <r>
    <x v="2"/>
    <x v="1"/>
    <x v="4"/>
    <x v="2"/>
    <n v="2"/>
    <x v="788"/>
    <x v="793"/>
  </r>
  <r>
    <x v="1"/>
    <x v="2"/>
    <x v="0"/>
    <x v="4"/>
    <n v="3"/>
    <x v="789"/>
    <x v="794"/>
  </r>
  <r>
    <x v="4"/>
    <x v="1"/>
    <x v="3"/>
    <x v="4"/>
    <n v="5"/>
    <x v="790"/>
    <x v="795"/>
  </r>
  <r>
    <x v="4"/>
    <x v="2"/>
    <x v="3"/>
    <x v="2"/>
    <n v="3"/>
    <x v="791"/>
    <x v="796"/>
  </r>
  <r>
    <x v="4"/>
    <x v="2"/>
    <x v="2"/>
    <x v="2"/>
    <n v="1"/>
    <x v="792"/>
    <x v="797"/>
  </r>
  <r>
    <x v="3"/>
    <x v="0"/>
    <x v="0"/>
    <x v="0"/>
    <n v="10"/>
    <x v="793"/>
    <x v="798"/>
  </r>
  <r>
    <x v="2"/>
    <x v="1"/>
    <x v="1"/>
    <x v="1"/>
    <n v="6"/>
    <x v="794"/>
    <x v="799"/>
  </r>
  <r>
    <x v="0"/>
    <x v="1"/>
    <x v="4"/>
    <x v="3"/>
    <n v="1"/>
    <x v="795"/>
    <x v="800"/>
  </r>
  <r>
    <x v="4"/>
    <x v="2"/>
    <x v="3"/>
    <x v="0"/>
    <n v="4"/>
    <x v="796"/>
    <x v="801"/>
  </r>
  <r>
    <x v="4"/>
    <x v="3"/>
    <x v="4"/>
    <x v="2"/>
    <n v="9"/>
    <x v="797"/>
    <x v="802"/>
  </r>
  <r>
    <x v="1"/>
    <x v="2"/>
    <x v="1"/>
    <x v="5"/>
    <n v="6"/>
    <x v="798"/>
    <x v="803"/>
  </r>
  <r>
    <x v="0"/>
    <x v="1"/>
    <x v="0"/>
    <x v="3"/>
    <n v="6"/>
    <x v="799"/>
    <x v="804"/>
  </r>
  <r>
    <x v="1"/>
    <x v="3"/>
    <x v="0"/>
    <x v="3"/>
    <n v="1"/>
    <x v="800"/>
    <x v="805"/>
  </r>
  <r>
    <x v="0"/>
    <x v="3"/>
    <x v="3"/>
    <x v="0"/>
    <n v="8"/>
    <x v="801"/>
    <x v="806"/>
  </r>
  <r>
    <x v="1"/>
    <x v="1"/>
    <x v="0"/>
    <x v="0"/>
    <n v="10"/>
    <x v="802"/>
    <x v="807"/>
  </r>
  <r>
    <x v="2"/>
    <x v="1"/>
    <x v="2"/>
    <x v="0"/>
    <n v="3"/>
    <x v="803"/>
    <x v="808"/>
  </r>
  <r>
    <x v="3"/>
    <x v="1"/>
    <x v="1"/>
    <x v="5"/>
    <n v="7"/>
    <x v="804"/>
    <x v="809"/>
  </r>
  <r>
    <x v="0"/>
    <x v="3"/>
    <x v="1"/>
    <x v="0"/>
    <n v="1"/>
    <x v="805"/>
    <x v="810"/>
  </r>
  <r>
    <x v="0"/>
    <x v="0"/>
    <x v="1"/>
    <x v="4"/>
    <n v="10"/>
    <x v="806"/>
    <x v="811"/>
  </r>
  <r>
    <x v="0"/>
    <x v="3"/>
    <x v="4"/>
    <x v="0"/>
    <n v="3"/>
    <x v="523"/>
    <x v="812"/>
  </r>
  <r>
    <x v="0"/>
    <x v="3"/>
    <x v="1"/>
    <x v="2"/>
    <n v="7"/>
    <x v="807"/>
    <x v="813"/>
  </r>
  <r>
    <x v="3"/>
    <x v="3"/>
    <x v="2"/>
    <x v="5"/>
    <n v="2"/>
    <x v="808"/>
    <x v="814"/>
  </r>
  <r>
    <x v="2"/>
    <x v="1"/>
    <x v="4"/>
    <x v="5"/>
    <n v="7"/>
    <x v="809"/>
    <x v="815"/>
  </r>
  <r>
    <x v="0"/>
    <x v="2"/>
    <x v="3"/>
    <x v="0"/>
    <n v="8"/>
    <x v="810"/>
    <x v="816"/>
  </r>
  <r>
    <x v="3"/>
    <x v="2"/>
    <x v="4"/>
    <x v="5"/>
    <n v="10"/>
    <x v="811"/>
    <x v="817"/>
  </r>
  <r>
    <x v="3"/>
    <x v="3"/>
    <x v="3"/>
    <x v="1"/>
    <n v="10"/>
    <x v="812"/>
    <x v="818"/>
  </r>
  <r>
    <x v="1"/>
    <x v="2"/>
    <x v="3"/>
    <x v="0"/>
    <n v="4"/>
    <x v="813"/>
    <x v="819"/>
  </r>
  <r>
    <x v="1"/>
    <x v="1"/>
    <x v="1"/>
    <x v="1"/>
    <n v="1"/>
    <x v="814"/>
    <x v="820"/>
  </r>
  <r>
    <x v="1"/>
    <x v="0"/>
    <x v="3"/>
    <x v="5"/>
    <n v="6"/>
    <x v="815"/>
    <x v="821"/>
  </r>
  <r>
    <x v="0"/>
    <x v="1"/>
    <x v="4"/>
    <x v="5"/>
    <n v="10"/>
    <x v="816"/>
    <x v="822"/>
  </r>
  <r>
    <x v="1"/>
    <x v="0"/>
    <x v="3"/>
    <x v="3"/>
    <n v="10"/>
    <x v="817"/>
    <x v="823"/>
  </r>
  <r>
    <x v="0"/>
    <x v="3"/>
    <x v="2"/>
    <x v="1"/>
    <n v="2"/>
    <x v="818"/>
    <x v="824"/>
  </r>
  <r>
    <x v="3"/>
    <x v="2"/>
    <x v="0"/>
    <x v="5"/>
    <n v="4"/>
    <x v="819"/>
    <x v="825"/>
  </r>
  <r>
    <x v="1"/>
    <x v="1"/>
    <x v="0"/>
    <x v="1"/>
    <n v="10"/>
    <x v="820"/>
    <x v="826"/>
  </r>
  <r>
    <x v="0"/>
    <x v="1"/>
    <x v="1"/>
    <x v="0"/>
    <n v="9"/>
    <x v="821"/>
    <x v="827"/>
  </r>
  <r>
    <x v="3"/>
    <x v="1"/>
    <x v="4"/>
    <x v="2"/>
    <n v="2"/>
    <x v="822"/>
    <x v="828"/>
  </r>
  <r>
    <x v="3"/>
    <x v="1"/>
    <x v="2"/>
    <x v="2"/>
    <n v="7"/>
    <x v="823"/>
    <x v="829"/>
  </r>
  <r>
    <x v="4"/>
    <x v="2"/>
    <x v="4"/>
    <x v="5"/>
    <n v="5"/>
    <x v="824"/>
    <x v="830"/>
  </r>
  <r>
    <x v="4"/>
    <x v="3"/>
    <x v="4"/>
    <x v="3"/>
    <n v="6"/>
    <x v="825"/>
    <x v="831"/>
  </r>
  <r>
    <x v="4"/>
    <x v="3"/>
    <x v="2"/>
    <x v="3"/>
    <n v="6"/>
    <x v="826"/>
    <x v="832"/>
  </r>
  <r>
    <x v="3"/>
    <x v="3"/>
    <x v="0"/>
    <x v="3"/>
    <n v="6"/>
    <x v="827"/>
    <x v="833"/>
  </r>
  <r>
    <x v="2"/>
    <x v="3"/>
    <x v="3"/>
    <x v="0"/>
    <n v="7"/>
    <x v="828"/>
    <x v="834"/>
  </r>
  <r>
    <x v="3"/>
    <x v="1"/>
    <x v="0"/>
    <x v="2"/>
    <n v="3"/>
    <x v="829"/>
    <x v="835"/>
  </r>
  <r>
    <x v="4"/>
    <x v="0"/>
    <x v="1"/>
    <x v="3"/>
    <n v="9"/>
    <x v="830"/>
    <x v="836"/>
  </r>
  <r>
    <x v="0"/>
    <x v="1"/>
    <x v="3"/>
    <x v="2"/>
    <n v="6"/>
    <x v="831"/>
    <x v="837"/>
  </r>
  <r>
    <x v="4"/>
    <x v="3"/>
    <x v="2"/>
    <x v="2"/>
    <n v="2"/>
    <x v="832"/>
    <x v="838"/>
  </r>
  <r>
    <x v="3"/>
    <x v="1"/>
    <x v="3"/>
    <x v="2"/>
    <n v="7"/>
    <x v="833"/>
    <x v="839"/>
  </r>
  <r>
    <x v="0"/>
    <x v="2"/>
    <x v="3"/>
    <x v="4"/>
    <n v="6"/>
    <x v="834"/>
    <x v="840"/>
  </r>
  <r>
    <x v="3"/>
    <x v="1"/>
    <x v="2"/>
    <x v="2"/>
    <n v="2"/>
    <x v="835"/>
    <x v="841"/>
  </r>
  <r>
    <x v="2"/>
    <x v="2"/>
    <x v="4"/>
    <x v="1"/>
    <n v="5"/>
    <x v="836"/>
    <x v="842"/>
  </r>
  <r>
    <x v="1"/>
    <x v="2"/>
    <x v="2"/>
    <x v="3"/>
    <n v="10"/>
    <x v="837"/>
    <x v="843"/>
  </r>
  <r>
    <x v="4"/>
    <x v="2"/>
    <x v="0"/>
    <x v="0"/>
    <n v="3"/>
    <x v="838"/>
    <x v="844"/>
  </r>
  <r>
    <x v="1"/>
    <x v="2"/>
    <x v="3"/>
    <x v="3"/>
    <n v="1"/>
    <x v="839"/>
    <x v="845"/>
  </r>
  <r>
    <x v="0"/>
    <x v="1"/>
    <x v="3"/>
    <x v="4"/>
    <n v="10"/>
    <x v="840"/>
    <x v="846"/>
  </r>
  <r>
    <x v="0"/>
    <x v="0"/>
    <x v="0"/>
    <x v="1"/>
    <n v="6"/>
    <x v="841"/>
    <x v="63"/>
  </r>
  <r>
    <x v="0"/>
    <x v="0"/>
    <x v="3"/>
    <x v="5"/>
    <n v="8"/>
    <x v="842"/>
    <x v="847"/>
  </r>
  <r>
    <x v="2"/>
    <x v="1"/>
    <x v="2"/>
    <x v="5"/>
    <n v="6"/>
    <x v="843"/>
    <x v="848"/>
  </r>
  <r>
    <x v="0"/>
    <x v="1"/>
    <x v="2"/>
    <x v="0"/>
    <n v="7"/>
    <x v="844"/>
    <x v="849"/>
  </r>
  <r>
    <x v="1"/>
    <x v="0"/>
    <x v="2"/>
    <x v="5"/>
    <n v="2"/>
    <x v="845"/>
    <x v="850"/>
  </r>
  <r>
    <x v="1"/>
    <x v="2"/>
    <x v="3"/>
    <x v="4"/>
    <n v="2"/>
    <x v="149"/>
    <x v="851"/>
  </r>
  <r>
    <x v="0"/>
    <x v="3"/>
    <x v="4"/>
    <x v="0"/>
    <n v="10"/>
    <x v="846"/>
    <x v="852"/>
  </r>
  <r>
    <x v="0"/>
    <x v="3"/>
    <x v="1"/>
    <x v="1"/>
    <n v="5"/>
    <x v="847"/>
    <x v="853"/>
  </r>
  <r>
    <x v="1"/>
    <x v="3"/>
    <x v="4"/>
    <x v="2"/>
    <n v="1"/>
    <x v="555"/>
    <x v="854"/>
  </r>
  <r>
    <x v="3"/>
    <x v="1"/>
    <x v="2"/>
    <x v="1"/>
    <n v="9"/>
    <x v="848"/>
    <x v="855"/>
  </r>
  <r>
    <x v="4"/>
    <x v="0"/>
    <x v="4"/>
    <x v="1"/>
    <n v="1"/>
    <x v="849"/>
    <x v="856"/>
  </r>
  <r>
    <x v="2"/>
    <x v="1"/>
    <x v="1"/>
    <x v="4"/>
    <n v="6"/>
    <x v="850"/>
    <x v="857"/>
  </r>
  <r>
    <x v="4"/>
    <x v="3"/>
    <x v="1"/>
    <x v="5"/>
    <n v="8"/>
    <x v="851"/>
    <x v="858"/>
  </r>
  <r>
    <x v="3"/>
    <x v="1"/>
    <x v="0"/>
    <x v="1"/>
    <n v="8"/>
    <x v="852"/>
    <x v="859"/>
  </r>
  <r>
    <x v="2"/>
    <x v="0"/>
    <x v="2"/>
    <x v="2"/>
    <n v="2"/>
    <x v="853"/>
    <x v="860"/>
  </r>
  <r>
    <x v="0"/>
    <x v="1"/>
    <x v="1"/>
    <x v="5"/>
    <n v="8"/>
    <x v="854"/>
    <x v="861"/>
  </r>
  <r>
    <x v="2"/>
    <x v="2"/>
    <x v="4"/>
    <x v="5"/>
    <n v="5"/>
    <x v="855"/>
    <x v="862"/>
  </r>
  <r>
    <x v="0"/>
    <x v="2"/>
    <x v="3"/>
    <x v="4"/>
    <n v="3"/>
    <x v="856"/>
    <x v="863"/>
  </r>
  <r>
    <x v="4"/>
    <x v="2"/>
    <x v="1"/>
    <x v="5"/>
    <n v="8"/>
    <x v="857"/>
    <x v="864"/>
  </r>
  <r>
    <x v="3"/>
    <x v="3"/>
    <x v="3"/>
    <x v="2"/>
    <n v="7"/>
    <x v="858"/>
    <x v="865"/>
  </r>
  <r>
    <x v="4"/>
    <x v="3"/>
    <x v="4"/>
    <x v="0"/>
    <n v="2"/>
    <x v="859"/>
    <x v="866"/>
  </r>
  <r>
    <x v="1"/>
    <x v="0"/>
    <x v="4"/>
    <x v="3"/>
    <n v="5"/>
    <x v="860"/>
    <x v="867"/>
  </r>
  <r>
    <x v="2"/>
    <x v="0"/>
    <x v="2"/>
    <x v="3"/>
    <n v="2"/>
    <x v="861"/>
    <x v="868"/>
  </r>
  <r>
    <x v="2"/>
    <x v="2"/>
    <x v="4"/>
    <x v="2"/>
    <n v="3"/>
    <x v="862"/>
    <x v="869"/>
  </r>
  <r>
    <x v="2"/>
    <x v="1"/>
    <x v="4"/>
    <x v="5"/>
    <n v="3"/>
    <x v="863"/>
    <x v="870"/>
  </r>
  <r>
    <x v="2"/>
    <x v="3"/>
    <x v="3"/>
    <x v="2"/>
    <n v="6"/>
    <x v="864"/>
    <x v="871"/>
  </r>
  <r>
    <x v="2"/>
    <x v="1"/>
    <x v="0"/>
    <x v="1"/>
    <n v="10"/>
    <x v="865"/>
    <x v="872"/>
  </r>
  <r>
    <x v="1"/>
    <x v="3"/>
    <x v="3"/>
    <x v="1"/>
    <n v="2"/>
    <x v="866"/>
    <x v="873"/>
  </r>
  <r>
    <x v="3"/>
    <x v="0"/>
    <x v="3"/>
    <x v="4"/>
    <n v="2"/>
    <x v="867"/>
    <x v="874"/>
  </r>
  <r>
    <x v="0"/>
    <x v="0"/>
    <x v="0"/>
    <x v="3"/>
    <n v="9"/>
    <x v="868"/>
    <x v="875"/>
  </r>
  <r>
    <x v="1"/>
    <x v="2"/>
    <x v="2"/>
    <x v="4"/>
    <n v="8"/>
    <x v="869"/>
    <x v="876"/>
  </r>
  <r>
    <x v="2"/>
    <x v="3"/>
    <x v="4"/>
    <x v="1"/>
    <n v="4"/>
    <x v="870"/>
    <x v="877"/>
  </r>
  <r>
    <x v="4"/>
    <x v="3"/>
    <x v="3"/>
    <x v="2"/>
    <n v="6"/>
    <x v="871"/>
    <x v="878"/>
  </r>
  <r>
    <x v="4"/>
    <x v="0"/>
    <x v="1"/>
    <x v="3"/>
    <n v="10"/>
    <x v="872"/>
    <x v="879"/>
  </r>
  <r>
    <x v="0"/>
    <x v="2"/>
    <x v="2"/>
    <x v="4"/>
    <n v="7"/>
    <x v="873"/>
    <x v="880"/>
  </r>
  <r>
    <x v="0"/>
    <x v="2"/>
    <x v="4"/>
    <x v="3"/>
    <n v="7"/>
    <x v="874"/>
    <x v="881"/>
  </r>
  <r>
    <x v="3"/>
    <x v="1"/>
    <x v="2"/>
    <x v="3"/>
    <n v="9"/>
    <x v="875"/>
    <x v="882"/>
  </r>
  <r>
    <x v="0"/>
    <x v="0"/>
    <x v="1"/>
    <x v="5"/>
    <n v="4"/>
    <x v="876"/>
    <x v="883"/>
  </r>
  <r>
    <x v="2"/>
    <x v="3"/>
    <x v="0"/>
    <x v="1"/>
    <n v="6"/>
    <x v="877"/>
    <x v="884"/>
  </r>
  <r>
    <x v="4"/>
    <x v="1"/>
    <x v="2"/>
    <x v="1"/>
    <n v="7"/>
    <x v="878"/>
    <x v="885"/>
  </r>
  <r>
    <x v="0"/>
    <x v="0"/>
    <x v="1"/>
    <x v="0"/>
    <n v="10"/>
    <x v="879"/>
    <x v="886"/>
  </r>
  <r>
    <x v="1"/>
    <x v="2"/>
    <x v="4"/>
    <x v="2"/>
    <n v="9"/>
    <x v="880"/>
    <x v="887"/>
  </r>
  <r>
    <x v="3"/>
    <x v="2"/>
    <x v="4"/>
    <x v="1"/>
    <n v="5"/>
    <x v="881"/>
    <x v="888"/>
  </r>
  <r>
    <x v="1"/>
    <x v="1"/>
    <x v="4"/>
    <x v="5"/>
    <n v="4"/>
    <x v="882"/>
    <x v="889"/>
  </r>
  <r>
    <x v="4"/>
    <x v="2"/>
    <x v="1"/>
    <x v="3"/>
    <n v="10"/>
    <x v="883"/>
    <x v="890"/>
  </r>
  <r>
    <x v="4"/>
    <x v="2"/>
    <x v="1"/>
    <x v="5"/>
    <n v="8"/>
    <x v="884"/>
    <x v="891"/>
  </r>
  <r>
    <x v="0"/>
    <x v="2"/>
    <x v="4"/>
    <x v="1"/>
    <n v="8"/>
    <x v="885"/>
    <x v="892"/>
  </r>
  <r>
    <x v="2"/>
    <x v="3"/>
    <x v="4"/>
    <x v="3"/>
    <n v="10"/>
    <x v="886"/>
    <x v="893"/>
  </r>
  <r>
    <x v="0"/>
    <x v="2"/>
    <x v="3"/>
    <x v="1"/>
    <n v="1"/>
    <x v="887"/>
    <x v="894"/>
  </r>
  <r>
    <x v="1"/>
    <x v="2"/>
    <x v="4"/>
    <x v="2"/>
    <n v="6"/>
    <x v="888"/>
    <x v="895"/>
  </r>
  <r>
    <x v="3"/>
    <x v="1"/>
    <x v="1"/>
    <x v="1"/>
    <n v="1"/>
    <x v="889"/>
    <x v="896"/>
  </r>
  <r>
    <x v="2"/>
    <x v="0"/>
    <x v="4"/>
    <x v="1"/>
    <n v="6"/>
    <x v="890"/>
    <x v="897"/>
  </r>
  <r>
    <x v="1"/>
    <x v="1"/>
    <x v="0"/>
    <x v="1"/>
    <n v="1"/>
    <x v="891"/>
    <x v="898"/>
  </r>
  <r>
    <x v="2"/>
    <x v="2"/>
    <x v="2"/>
    <x v="5"/>
    <n v="10"/>
    <x v="892"/>
    <x v="899"/>
  </r>
  <r>
    <x v="2"/>
    <x v="3"/>
    <x v="3"/>
    <x v="2"/>
    <n v="7"/>
    <x v="893"/>
    <x v="900"/>
  </r>
  <r>
    <x v="4"/>
    <x v="0"/>
    <x v="3"/>
    <x v="3"/>
    <n v="4"/>
    <x v="894"/>
    <x v="901"/>
  </r>
  <r>
    <x v="4"/>
    <x v="2"/>
    <x v="2"/>
    <x v="0"/>
    <n v="7"/>
    <x v="895"/>
    <x v="902"/>
  </r>
  <r>
    <x v="4"/>
    <x v="2"/>
    <x v="1"/>
    <x v="2"/>
    <n v="7"/>
    <x v="896"/>
    <x v="903"/>
  </r>
  <r>
    <x v="3"/>
    <x v="2"/>
    <x v="2"/>
    <x v="1"/>
    <n v="1"/>
    <x v="897"/>
    <x v="904"/>
  </r>
  <r>
    <x v="2"/>
    <x v="3"/>
    <x v="4"/>
    <x v="0"/>
    <n v="10"/>
    <x v="898"/>
    <x v="905"/>
  </r>
  <r>
    <x v="0"/>
    <x v="2"/>
    <x v="3"/>
    <x v="0"/>
    <n v="4"/>
    <x v="899"/>
    <x v="906"/>
  </r>
  <r>
    <x v="3"/>
    <x v="2"/>
    <x v="3"/>
    <x v="1"/>
    <n v="6"/>
    <x v="900"/>
    <x v="907"/>
  </r>
  <r>
    <x v="0"/>
    <x v="0"/>
    <x v="0"/>
    <x v="4"/>
    <n v="9"/>
    <x v="901"/>
    <x v="908"/>
  </r>
  <r>
    <x v="4"/>
    <x v="2"/>
    <x v="1"/>
    <x v="0"/>
    <n v="3"/>
    <x v="902"/>
    <x v="909"/>
  </r>
  <r>
    <x v="1"/>
    <x v="1"/>
    <x v="1"/>
    <x v="5"/>
    <n v="9"/>
    <x v="903"/>
    <x v="910"/>
  </r>
  <r>
    <x v="3"/>
    <x v="3"/>
    <x v="1"/>
    <x v="2"/>
    <n v="2"/>
    <x v="904"/>
    <x v="911"/>
  </r>
  <r>
    <x v="2"/>
    <x v="2"/>
    <x v="4"/>
    <x v="0"/>
    <n v="6"/>
    <x v="905"/>
    <x v="912"/>
  </r>
  <r>
    <x v="0"/>
    <x v="0"/>
    <x v="4"/>
    <x v="1"/>
    <n v="2"/>
    <x v="906"/>
    <x v="913"/>
  </r>
  <r>
    <x v="3"/>
    <x v="2"/>
    <x v="2"/>
    <x v="5"/>
    <n v="6"/>
    <x v="907"/>
    <x v="914"/>
  </r>
  <r>
    <x v="0"/>
    <x v="2"/>
    <x v="3"/>
    <x v="1"/>
    <n v="8"/>
    <x v="908"/>
    <x v="915"/>
  </r>
  <r>
    <x v="1"/>
    <x v="1"/>
    <x v="0"/>
    <x v="5"/>
    <n v="8"/>
    <x v="909"/>
    <x v="916"/>
  </r>
  <r>
    <x v="2"/>
    <x v="2"/>
    <x v="1"/>
    <x v="3"/>
    <n v="8"/>
    <x v="910"/>
    <x v="917"/>
  </r>
  <r>
    <x v="3"/>
    <x v="2"/>
    <x v="1"/>
    <x v="2"/>
    <n v="9"/>
    <x v="911"/>
    <x v="918"/>
  </r>
  <r>
    <x v="2"/>
    <x v="1"/>
    <x v="3"/>
    <x v="5"/>
    <n v="5"/>
    <x v="912"/>
    <x v="919"/>
  </r>
  <r>
    <x v="0"/>
    <x v="2"/>
    <x v="4"/>
    <x v="2"/>
    <n v="1"/>
    <x v="913"/>
    <x v="920"/>
  </r>
  <r>
    <x v="3"/>
    <x v="0"/>
    <x v="4"/>
    <x v="1"/>
    <n v="5"/>
    <x v="914"/>
    <x v="921"/>
  </r>
  <r>
    <x v="4"/>
    <x v="0"/>
    <x v="4"/>
    <x v="4"/>
    <n v="9"/>
    <x v="915"/>
    <x v="922"/>
  </r>
  <r>
    <x v="0"/>
    <x v="0"/>
    <x v="0"/>
    <x v="3"/>
    <n v="6"/>
    <x v="916"/>
    <x v="923"/>
  </r>
  <r>
    <x v="1"/>
    <x v="2"/>
    <x v="4"/>
    <x v="2"/>
    <n v="5"/>
    <x v="917"/>
    <x v="924"/>
  </r>
  <r>
    <x v="0"/>
    <x v="3"/>
    <x v="0"/>
    <x v="2"/>
    <n v="7"/>
    <x v="918"/>
    <x v="925"/>
  </r>
  <r>
    <x v="2"/>
    <x v="1"/>
    <x v="0"/>
    <x v="4"/>
    <n v="1"/>
    <x v="919"/>
    <x v="926"/>
  </r>
  <r>
    <x v="2"/>
    <x v="0"/>
    <x v="3"/>
    <x v="5"/>
    <n v="8"/>
    <x v="920"/>
    <x v="927"/>
  </r>
  <r>
    <x v="0"/>
    <x v="1"/>
    <x v="1"/>
    <x v="4"/>
    <n v="3"/>
    <x v="921"/>
    <x v="928"/>
  </r>
  <r>
    <x v="4"/>
    <x v="2"/>
    <x v="3"/>
    <x v="4"/>
    <n v="6"/>
    <x v="253"/>
    <x v="929"/>
  </r>
  <r>
    <x v="2"/>
    <x v="3"/>
    <x v="3"/>
    <x v="4"/>
    <n v="7"/>
    <x v="95"/>
    <x v="96"/>
  </r>
  <r>
    <x v="1"/>
    <x v="1"/>
    <x v="1"/>
    <x v="1"/>
    <n v="9"/>
    <x v="922"/>
    <x v="930"/>
  </r>
  <r>
    <x v="0"/>
    <x v="1"/>
    <x v="3"/>
    <x v="4"/>
    <n v="7"/>
    <x v="923"/>
    <x v="931"/>
  </r>
  <r>
    <x v="1"/>
    <x v="2"/>
    <x v="2"/>
    <x v="5"/>
    <n v="4"/>
    <x v="924"/>
    <x v="932"/>
  </r>
  <r>
    <x v="4"/>
    <x v="2"/>
    <x v="4"/>
    <x v="5"/>
    <n v="1"/>
    <x v="925"/>
    <x v="933"/>
  </r>
  <r>
    <x v="3"/>
    <x v="1"/>
    <x v="2"/>
    <x v="5"/>
    <n v="3"/>
    <x v="926"/>
    <x v="934"/>
  </r>
  <r>
    <x v="2"/>
    <x v="2"/>
    <x v="1"/>
    <x v="1"/>
    <n v="9"/>
    <x v="835"/>
    <x v="935"/>
  </r>
  <r>
    <x v="3"/>
    <x v="2"/>
    <x v="0"/>
    <x v="2"/>
    <n v="5"/>
    <x v="927"/>
    <x v="936"/>
  </r>
  <r>
    <x v="1"/>
    <x v="1"/>
    <x v="4"/>
    <x v="1"/>
    <n v="2"/>
    <x v="928"/>
    <x v="937"/>
  </r>
  <r>
    <x v="1"/>
    <x v="0"/>
    <x v="3"/>
    <x v="5"/>
    <n v="7"/>
    <x v="929"/>
    <x v="938"/>
  </r>
  <r>
    <x v="1"/>
    <x v="0"/>
    <x v="3"/>
    <x v="4"/>
    <n v="4"/>
    <x v="930"/>
    <x v="939"/>
  </r>
  <r>
    <x v="3"/>
    <x v="3"/>
    <x v="0"/>
    <x v="0"/>
    <n v="4"/>
    <x v="931"/>
    <x v="940"/>
  </r>
  <r>
    <x v="1"/>
    <x v="3"/>
    <x v="4"/>
    <x v="0"/>
    <n v="5"/>
    <x v="932"/>
    <x v="941"/>
  </r>
  <r>
    <x v="3"/>
    <x v="0"/>
    <x v="1"/>
    <x v="0"/>
    <n v="8"/>
    <x v="933"/>
    <x v="942"/>
  </r>
  <r>
    <x v="1"/>
    <x v="3"/>
    <x v="0"/>
    <x v="4"/>
    <n v="2"/>
    <x v="934"/>
    <x v="943"/>
  </r>
  <r>
    <x v="0"/>
    <x v="3"/>
    <x v="1"/>
    <x v="0"/>
    <n v="3"/>
    <x v="935"/>
    <x v="944"/>
  </r>
  <r>
    <x v="2"/>
    <x v="3"/>
    <x v="2"/>
    <x v="1"/>
    <n v="10"/>
    <x v="936"/>
    <x v="945"/>
  </r>
  <r>
    <x v="1"/>
    <x v="0"/>
    <x v="4"/>
    <x v="1"/>
    <n v="3"/>
    <x v="937"/>
    <x v="946"/>
  </r>
  <r>
    <x v="2"/>
    <x v="3"/>
    <x v="2"/>
    <x v="0"/>
    <n v="3"/>
    <x v="938"/>
    <x v="947"/>
  </r>
  <r>
    <x v="4"/>
    <x v="0"/>
    <x v="2"/>
    <x v="0"/>
    <n v="9"/>
    <x v="939"/>
    <x v="948"/>
  </r>
  <r>
    <x v="2"/>
    <x v="1"/>
    <x v="1"/>
    <x v="5"/>
    <n v="1"/>
    <x v="940"/>
    <x v="949"/>
  </r>
  <r>
    <x v="2"/>
    <x v="2"/>
    <x v="0"/>
    <x v="0"/>
    <n v="5"/>
    <x v="941"/>
    <x v="950"/>
  </r>
  <r>
    <x v="2"/>
    <x v="1"/>
    <x v="0"/>
    <x v="2"/>
    <n v="2"/>
    <x v="942"/>
    <x v="951"/>
  </r>
  <r>
    <x v="0"/>
    <x v="1"/>
    <x v="0"/>
    <x v="4"/>
    <n v="5"/>
    <x v="943"/>
    <x v="952"/>
  </r>
  <r>
    <x v="0"/>
    <x v="1"/>
    <x v="0"/>
    <x v="4"/>
    <n v="4"/>
    <x v="944"/>
    <x v="953"/>
  </r>
  <r>
    <x v="0"/>
    <x v="3"/>
    <x v="4"/>
    <x v="3"/>
    <n v="4"/>
    <x v="945"/>
    <x v="954"/>
  </r>
  <r>
    <x v="1"/>
    <x v="0"/>
    <x v="0"/>
    <x v="1"/>
    <n v="3"/>
    <x v="946"/>
    <x v="955"/>
  </r>
  <r>
    <x v="1"/>
    <x v="0"/>
    <x v="2"/>
    <x v="1"/>
    <n v="4"/>
    <x v="947"/>
    <x v="956"/>
  </r>
  <r>
    <x v="4"/>
    <x v="0"/>
    <x v="4"/>
    <x v="5"/>
    <n v="8"/>
    <x v="948"/>
    <x v="957"/>
  </r>
  <r>
    <x v="3"/>
    <x v="1"/>
    <x v="0"/>
    <x v="0"/>
    <n v="4"/>
    <x v="949"/>
    <x v="958"/>
  </r>
  <r>
    <x v="2"/>
    <x v="1"/>
    <x v="0"/>
    <x v="3"/>
    <n v="2"/>
    <x v="950"/>
    <x v="959"/>
  </r>
  <r>
    <x v="3"/>
    <x v="0"/>
    <x v="4"/>
    <x v="5"/>
    <n v="4"/>
    <x v="951"/>
    <x v="960"/>
  </r>
  <r>
    <x v="1"/>
    <x v="3"/>
    <x v="3"/>
    <x v="2"/>
    <n v="3"/>
    <x v="952"/>
    <x v="961"/>
  </r>
  <r>
    <x v="0"/>
    <x v="1"/>
    <x v="2"/>
    <x v="5"/>
    <n v="8"/>
    <x v="953"/>
    <x v="962"/>
  </r>
  <r>
    <x v="0"/>
    <x v="1"/>
    <x v="4"/>
    <x v="5"/>
    <n v="9"/>
    <x v="954"/>
    <x v="963"/>
  </r>
  <r>
    <x v="4"/>
    <x v="2"/>
    <x v="3"/>
    <x v="1"/>
    <n v="7"/>
    <x v="215"/>
    <x v="964"/>
  </r>
  <r>
    <x v="1"/>
    <x v="0"/>
    <x v="0"/>
    <x v="2"/>
    <n v="2"/>
    <x v="955"/>
    <x v="965"/>
  </r>
  <r>
    <x v="0"/>
    <x v="2"/>
    <x v="2"/>
    <x v="3"/>
    <n v="4"/>
    <x v="956"/>
    <x v="966"/>
  </r>
  <r>
    <x v="1"/>
    <x v="3"/>
    <x v="0"/>
    <x v="1"/>
    <n v="3"/>
    <x v="957"/>
    <x v="967"/>
  </r>
  <r>
    <x v="0"/>
    <x v="1"/>
    <x v="2"/>
    <x v="3"/>
    <n v="10"/>
    <x v="958"/>
    <x v="968"/>
  </r>
  <r>
    <x v="1"/>
    <x v="0"/>
    <x v="2"/>
    <x v="1"/>
    <n v="6"/>
    <x v="959"/>
    <x v="969"/>
  </r>
  <r>
    <x v="2"/>
    <x v="0"/>
    <x v="0"/>
    <x v="5"/>
    <n v="10"/>
    <x v="960"/>
    <x v="970"/>
  </r>
  <r>
    <x v="1"/>
    <x v="1"/>
    <x v="4"/>
    <x v="0"/>
    <n v="8"/>
    <x v="889"/>
    <x v="971"/>
  </r>
  <r>
    <x v="1"/>
    <x v="3"/>
    <x v="4"/>
    <x v="3"/>
    <n v="1"/>
    <x v="924"/>
    <x v="972"/>
  </r>
  <r>
    <x v="2"/>
    <x v="1"/>
    <x v="1"/>
    <x v="1"/>
    <n v="1"/>
    <x v="961"/>
    <x v="973"/>
  </r>
  <r>
    <x v="1"/>
    <x v="2"/>
    <x v="0"/>
    <x v="1"/>
    <n v="6"/>
    <x v="962"/>
    <x v="974"/>
  </r>
  <r>
    <x v="1"/>
    <x v="0"/>
    <x v="1"/>
    <x v="2"/>
    <n v="1"/>
    <x v="963"/>
    <x v="975"/>
  </r>
  <r>
    <x v="2"/>
    <x v="3"/>
    <x v="2"/>
    <x v="1"/>
    <n v="5"/>
    <x v="964"/>
    <x v="976"/>
  </r>
  <r>
    <x v="0"/>
    <x v="3"/>
    <x v="4"/>
    <x v="2"/>
    <n v="7"/>
    <x v="965"/>
    <x v="977"/>
  </r>
  <r>
    <x v="4"/>
    <x v="3"/>
    <x v="0"/>
    <x v="5"/>
    <n v="5"/>
    <x v="966"/>
    <x v="978"/>
  </r>
  <r>
    <x v="2"/>
    <x v="2"/>
    <x v="0"/>
    <x v="3"/>
    <n v="7"/>
    <x v="967"/>
    <x v="979"/>
  </r>
  <r>
    <x v="4"/>
    <x v="2"/>
    <x v="3"/>
    <x v="1"/>
    <n v="5"/>
    <x v="968"/>
    <x v="980"/>
  </r>
  <r>
    <x v="0"/>
    <x v="1"/>
    <x v="3"/>
    <x v="0"/>
    <n v="8"/>
    <x v="969"/>
    <x v="981"/>
  </r>
  <r>
    <x v="3"/>
    <x v="0"/>
    <x v="3"/>
    <x v="2"/>
    <n v="8"/>
    <x v="970"/>
    <x v="982"/>
  </r>
  <r>
    <x v="1"/>
    <x v="0"/>
    <x v="2"/>
    <x v="1"/>
    <n v="7"/>
    <x v="971"/>
    <x v="983"/>
  </r>
  <r>
    <x v="3"/>
    <x v="0"/>
    <x v="3"/>
    <x v="4"/>
    <n v="10"/>
    <x v="972"/>
    <x v="984"/>
  </r>
  <r>
    <x v="3"/>
    <x v="2"/>
    <x v="2"/>
    <x v="4"/>
    <n v="4"/>
    <x v="973"/>
    <x v="985"/>
  </r>
  <r>
    <x v="4"/>
    <x v="2"/>
    <x v="2"/>
    <x v="0"/>
    <n v="4"/>
    <x v="974"/>
    <x v="986"/>
  </r>
  <r>
    <x v="2"/>
    <x v="2"/>
    <x v="4"/>
    <x v="1"/>
    <n v="8"/>
    <x v="975"/>
    <x v="987"/>
  </r>
  <r>
    <x v="2"/>
    <x v="3"/>
    <x v="0"/>
    <x v="5"/>
    <n v="10"/>
    <x v="976"/>
    <x v="988"/>
  </r>
  <r>
    <x v="2"/>
    <x v="0"/>
    <x v="2"/>
    <x v="2"/>
    <n v="4"/>
    <x v="977"/>
    <x v="989"/>
  </r>
  <r>
    <x v="2"/>
    <x v="0"/>
    <x v="4"/>
    <x v="4"/>
    <n v="10"/>
    <x v="978"/>
    <x v="990"/>
  </r>
  <r>
    <x v="0"/>
    <x v="0"/>
    <x v="1"/>
    <x v="5"/>
    <n v="8"/>
    <x v="979"/>
    <x v="9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James Anderson"/>
    <x v="0"/>
    <x v="0"/>
    <s v="New York"/>
    <x v="0"/>
    <x v="0"/>
    <n v="92000"/>
    <n v="180000"/>
    <n v="175000"/>
    <n v="0.97222222222222221"/>
    <n v="6"/>
    <x v="0"/>
  </r>
  <r>
    <x v="1"/>
    <s v="Olivia Martin"/>
    <x v="1"/>
    <x v="1"/>
    <s v="Chicago"/>
    <x v="1"/>
    <x v="1"/>
    <n v="62000"/>
    <n v="100000"/>
    <n v="110000"/>
    <n v="1.1000000000000001"/>
    <n v="1"/>
    <x v="1"/>
  </r>
  <r>
    <x v="2"/>
    <s v="William Scott"/>
    <x v="0"/>
    <x v="2"/>
    <s v="Houston"/>
    <x v="2"/>
    <x v="2"/>
    <n v="78000"/>
    <n v="140000"/>
    <n v="120000"/>
    <n v="0.8571428571428571"/>
    <n v="10"/>
    <x v="2"/>
  </r>
  <r>
    <x v="3"/>
    <s v="Ava Thompson"/>
    <x v="1"/>
    <x v="3"/>
    <s v="Phoenix"/>
    <x v="3"/>
    <x v="3"/>
    <n v="105000"/>
    <n v="150000"/>
    <n v="145000"/>
    <n v="0.96666666666666667"/>
    <n v="7"/>
    <x v="0"/>
  </r>
  <r>
    <x v="4"/>
    <s v="Benjamin Carter"/>
    <x v="0"/>
    <x v="4"/>
    <s v="Los Angeles"/>
    <x v="3"/>
    <x v="4"/>
    <n v="112000"/>
    <n v="200000"/>
    <n v="210000"/>
    <n v="1.05"/>
    <n v="2"/>
    <x v="2"/>
  </r>
  <r>
    <x v="5"/>
    <s v="Emily White"/>
    <x v="1"/>
    <x v="5"/>
    <s v="New York"/>
    <x v="1"/>
    <x v="5"/>
    <n v="67000"/>
    <n v="100000"/>
    <n v="90000"/>
    <n v="0.9"/>
    <n v="9"/>
    <x v="0"/>
  </r>
  <r>
    <x v="6"/>
    <s v="Lucas Hernandez"/>
    <x v="0"/>
    <x v="0"/>
    <s v="Chicago"/>
    <x v="0"/>
    <x v="6"/>
    <n v="88000"/>
    <n v="160000"/>
    <n v="158000"/>
    <n v="0.98750000000000004"/>
    <n v="4"/>
    <x v="2"/>
  </r>
  <r>
    <x v="7"/>
    <s v="Sophia Lewis"/>
    <x v="1"/>
    <x v="2"/>
    <s v="Houston"/>
    <x v="2"/>
    <x v="7"/>
    <n v="74000"/>
    <n v="120000"/>
    <n v="120000"/>
    <n v="1"/>
    <n v="3"/>
    <x v="0"/>
  </r>
  <r>
    <x v="8"/>
    <s v="Masoni Walker"/>
    <x v="1"/>
    <x v="1"/>
    <s v="Phoenix"/>
    <x v="1"/>
    <x v="8"/>
    <n v="59000"/>
    <n v="90000"/>
    <n v="85000"/>
    <n v="0.94444444444444442"/>
    <n v="8"/>
    <x v="1"/>
  </r>
  <r>
    <x v="9"/>
    <s v="Isabella Hall"/>
    <x v="1"/>
    <x v="4"/>
    <s v="Los Angeles"/>
    <x v="0"/>
    <x v="9"/>
    <n v="99000"/>
    <n v="190000"/>
    <n v="185000"/>
    <n v="0.97368421052631582"/>
    <n v="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2266A9-06E1-4489-94BD-D1B3E3891BC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0:B54" firstHeaderRow="1" firstDataRow="1" firstDataCol="1"/>
  <pivotFields count="7">
    <pivotField axis="axisRow" showAll="0" measureFilter="1">
      <items count="6">
        <item x="1"/>
        <item x="3"/>
        <item x="2"/>
        <item x="0"/>
        <item x="4"/>
        <item t="default"/>
      </items>
    </pivotField>
    <pivotField showAll="0">
      <items count="5">
        <item x="2"/>
        <item x="0"/>
        <item x="1"/>
        <item x="3"/>
        <item t="default"/>
      </items>
    </pivotField>
    <pivotField showAll="0">
      <items count="6">
        <item x="3"/>
        <item x="1"/>
        <item x="0"/>
        <item x="4"/>
        <item x="2"/>
        <item t="default"/>
      </items>
    </pivotField>
    <pivotField showAll="0">
      <items count="7">
        <item x="2"/>
        <item x="0"/>
        <item x="4"/>
        <item x="5"/>
        <item x="3"/>
        <item x="1"/>
        <item t="default"/>
      </items>
    </pivotField>
    <pivotField showAll="0"/>
    <pivotField showAll="0">
      <items count="981">
        <item x="927"/>
        <item x="473"/>
        <item x="23"/>
        <item x="82"/>
        <item x="559"/>
        <item x="610"/>
        <item x="391"/>
        <item x="242"/>
        <item x="105"/>
        <item x="276"/>
        <item x="805"/>
        <item x="438"/>
        <item x="207"/>
        <item x="521"/>
        <item x="160"/>
        <item x="251"/>
        <item x="949"/>
        <item x="267"/>
        <item x="535"/>
        <item x="755"/>
        <item x="355"/>
        <item x="868"/>
        <item x="63"/>
        <item x="385"/>
        <item x="829"/>
        <item x="354"/>
        <item x="827"/>
        <item x="770"/>
        <item x="70"/>
        <item x="900"/>
        <item x="224"/>
        <item x="531"/>
        <item x="377"/>
        <item x="248"/>
        <item x="16"/>
        <item x="676"/>
        <item x="174"/>
        <item x="696"/>
        <item x="657"/>
        <item x="957"/>
        <item x="762"/>
        <item x="266"/>
        <item x="841"/>
        <item x="787"/>
        <item x="718"/>
        <item x="806"/>
        <item x="817"/>
        <item x="641"/>
        <item x="151"/>
        <item x="629"/>
        <item x="840"/>
        <item x="825"/>
        <item x="792"/>
        <item x="740"/>
        <item x="1"/>
        <item x="557"/>
        <item x="883"/>
        <item x="304"/>
        <item x="107"/>
        <item x="920"/>
        <item x="901"/>
        <item x="72"/>
        <item x="423"/>
        <item x="519"/>
        <item x="132"/>
        <item x="98"/>
        <item x="551"/>
        <item x="722"/>
        <item x="867"/>
        <item x="947"/>
        <item x="638"/>
        <item x="926"/>
        <item x="885"/>
        <item x="64"/>
        <item x="28"/>
        <item x="520"/>
        <item x="852"/>
        <item x="963"/>
        <item x="517"/>
        <item x="945"/>
        <item x="660"/>
        <item x="222"/>
        <item x="658"/>
        <item x="108"/>
        <item x="445"/>
        <item x="138"/>
        <item x="549"/>
        <item x="448"/>
        <item x="9"/>
        <item x="166"/>
        <item x="545"/>
        <item x="749"/>
        <item x="467"/>
        <item x="290"/>
        <item x="380"/>
        <item x="319"/>
        <item x="636"/>
        <item x="684"/>
        <item x="67"/>
        <item x="615"/>
        <item x="530"/>
        <item x="288"/>
        <item x="803"/>
        <item x="972"/>
        <item x="490"/>
        <item x="912"/>
        <item x="95"/>
        <item x="326"/>
        <item x="602"/>
        <item x="368"/>
        <item x="156"/>
        <item x="855"/>
        <item x="313"/>
        <item x="99"/>
        <item x="409"/>
        <item x="952"/>
        <item x="92"/>
        <item x="791"/>
        <item x="620"/>
        <item x="410"/>
        <item x="312"/>
        <item x="743"/>
        <item x="584"/>
        <item x="139"/>
        <item x="831"/>
        <item x="417"/>
        <item x="244"/>
        <item x="518"/>
        <item x="172"/>
        <item x="279"/>
        <item x="687"/>
        <item x="734"/>
        <item x="195"/>
        <item x="507"/>
        <item x="574"/>
        <item x="818"/>
        <item x="262"/>
        <item x="370"/>
        <item x="837"/>
        <item x="512"/>
        <item x="12"/>
        <item x="254"/>
        <item x="950"/>
        <item x="353"/>
        <item x="48"/>
        <item x="414"/>
        <item x="102"/>
        <item x="663"/>
        <item x="563"/>
        <item x="695"/>
        <item x="582"/>
        <item x="686"/>
        <item x="384"/>
        <item x="569"/>
        <item x="486"/>
        <item x="874"/>
        <item x="634"/>
        <item x="314"/>
        <item x="680"/>
        <item x="176"/>
        <item x="472"/>
        <item x="356"/>
        <item x="424"/>
        <item x="904"/>
        <item x="967"/>
        <item x="595"/>
        <item x="285"/>
        <item x="426"/>
        <item x="586"/>
        <item x="812"/>
        <item x="219"/>
        <item x="430"/>
        <item x="727"/>
        <item x="804"/>
        <item x="575"/>
        <item x="401"/>
        <item x="891"/>
        <item x="321"/>
        <item x="135"/>
        <item x="635"/>
        <item x="623"/>
        <item x="394"/>
        <item x="603"/>
        <item x="640"/>
        <item x="431"/>
        <item x="848"/>
        <item x="923"/>
        <item x="206"/>
        <item x="758"/>
        <item x="480"/>
        <item x="506"/>
        <item x="655"/>
        <item x="921"/>
        <item x="724"/>
        <item x="54"/>
        <item x="953"/>
        <item x="705"/>
        <item x="965"/>
        <item x="186"/>
        <item x="227"/>
        <item x="918"/>
        <item x="715"/>
        <item x="165"/>
        <item x="81"/>
        <item x="565"/>
        <item x="121"/>
        <item x="239"/>
        <item x="273"/>
        <item x="886"/>
        <item x="723"/>
        <item x="589"/>
        <item x="580"/>
        <item x="772"/>
        <item x="66"/>
        <item x="237"/>
        <item x="744"/>
        <item x="665"/>
        <item x="233"/>
        <item x="733"/>
        <item x="548"/>
        <item x="533"/>
        <item x="37"/>
        <item x="653"/>
        <item x="948"/>
        <item x="404"/>
        <item x="652"/>
        <item x="75"/>
        <item x="633"/>
        <item x="788"/>
        <item x="977"/>
        <item x="648"/>
        <item x="299"/>
        <item x="717"/>
        <item x="309"/>
        <item x="90"/>
        <item x="567"/>
        <item x="128"/>
        <item x="163"/>
        <item x="371"/>
        <item x="970"/>
        <item x="495"/>
        <item x="880"/>
        <item x="728"/>
        <item x="74"/>
        <item x="637"/>
        <item x="910"/>
        <item x="564"/>
        <item x="864"/>
        <item x="753"/>
        <item x="510"/>
        <item x="511"/>
        <item x="4"/>
        <item x="820"/>
        <item x="369"/>
        <item x="317"/>
        <item x="2"/>
        <item x="936"/>
        <item x="849"/>
        <item x="24"/>
        <item x="323"/>
        <item x="742"/>
        <item x="80"/>
        <item x="265"/>
        <item x="155"/>
        <item x="646"/>
        <item x="235"/>
        <item x="683"/>
        <item x="552"/>
        <item x="201"/>
        <item x="491"/>
        <item x="395"/>
        <item x="962"/>
        <item x="966"/>
        <item x="854"/>
        <item x="782"/>
        <item x="221"/>
        <item x="546"/>
        <item x="179"/>
        <item x="739"/>
        <item x="769"/>
        <item x="775"/>
        <item x="152"/>
        <item x="843"/>
        <item x="929"/>
        <item x="44"/>
        <item x="407"/>
        <item x="470"/>
        <item x="908"/>
        <item x="839"/>
        <item x="29"/>
        <item x="639"/>
        <item x="461"/>
        <item x="109"/>
        <item x="832"/>
        <item x="550"/>
        <item x="462"/>
        <item x="600"/>
        <item x="616"/>
        <item x="793"/>
        <item x="674"/>
        <item x="264"/>
        <item x="137"/>
        <item x="809"/>
        <item x="351"/>
        <item x="796"/>
        <item x="553"/>
        <item x="509"/>
        <item x="797"/>
        <item x="228"/>
        <item x="513"/>
        <item x="621"/>
        <item x="268"/>
        <item x="103"/>
        <item x="591"/>
        <item x="678"/>
        <item x="608"/>
        <item x="452"/>
        <item x="11"/>
        <item x="328"/>
        <item x="463"/>
        <item x="71"/>
        <item x="184"/>
        <item x="766"/>
        <item x="611"/>
        <item x="397"/>
        <item x="475"/>
        <item x="630"/>
        <item x="851"/>
        <item x="43"/>
        <item x="914"/>
        <item x="643"/>
        <item x="261"/>
        <item x="566"/>
        <item x="60"/>
        <item x="175"/>
        <item x="768"/>
        <item x="412"/>
        <item x="625"/>
        <item x="3"/>
        <item x="376"/>
        <item x="303"/>
        <item x="697"/>
        <item x="157"/>
        <item x="859"/>
        <item x="857"/>
        <item x="662"/>
        <item x="590"/>
        <item x="85"/>
        <item x="836"/>
        <item x="561"/>
        <item x="725"/>
        <item x="711"/>
        <item x="704"/>
        <item x="935"/>
        <item x="149"/>
        <item x="650"/>
        <item x="27"/>
        <item x="200"/>
        <item x="515"/>
        <item x="942"/>
        <item x="91"/>
        <item x="489"/>
        <item x="15"/>
        <item x="21"/>
        <item x="131"/>
        <item x="570"/>
        <item x="547"/>
        <item x="944"/>
        <item x="191"/>
        <item x="177"/>
        <item x="168"/>
        <item x="583"/>
        <item x="49"/>
        <item x="46"/>
        <item x="905"/>
        <item x="442"/>
        <item x="536"/>
        <item x="526"/>
        <item x="618"/>
        <item x="661"/>
        <item x="664"/>
        <item x="464"/>
        <item x="893"/>
        <item x="807"/>
        <item x="310"/>
        <item x="372"/>
        <item x="420"/>
        <item x="587"/>
        <item x="459"/>
        <item x="187"/>
        <item x="32"/>
        <item x="263"/>
        <item x="338"/>
        <item x="183"/>
        <item x="284"/>
        <item x="388"/>
        <item x="760"/>
        <item x="853"/>
        <item x="432"/>
        <item x="142"/>
        <item x="539"/>
        <item x="862"/>
        <item x="476"/>
        <item x="675"/>
        <item x="416"/>
        <item x="449"/>
        <item x="794"/>
        <item x="162"/>
        <item x="554"/>
        <item x="116"/>
        <item x="413"/>
        <item x="562"/>
        <item x="737"/>
        <item x="344"/>
        <item x="628"/>
        <item x="61"/>
        <item x="801"/>
        <item x="922"/>
        <item x="700"/>
        <item x="808"/>
        <item x="215"/>
        <item x="892"/>
        <item x="573"/>
        <item x="126"/>
        <item x="786"/>
        <item x="925"/>
        <item x="270"/>
        <item x="709"/>
        <item x="291"/>
        <item x="47"/>
        <item x="673"/>
        <item x="783"/>
        <item x="212"/>
        <item x="293"/>
        <item x="811"/>
        <item x="150"/>
        <item x="59"/>
        <item x="471"/>
        <item x="236"/>
        <item x="651"/>
        <item x="349"/>
        <item x="250"/>
        <item x="415"/>
        <item x="594"/>
        <item x="795"/>
        <item x="735"/>
        <item x="975"/>
        <item x="488"/>
        <item x="234"/>
        <item x="823"/>
        <item x="943"/>
        <item x="78"/>
        <item x="39"/>
        <item x="255"/>
        <item x="7"/>
        <item x="828"/>
        <item x="271"/>
        <item x="578"/>
        <item x="669"/>
        <item x="153"/>
        <item x="34"/>
        <item x="5"/>
        <item x="194"/>
        <item x="170"/>
        <item x="870"/>
        <item x="287"/>
        <item x="627"/>
        <item x="702"/>
        <item x="505"/>
        <item x="876"/>
        <item x="213"/>
        <item x="694"/>
        <item x="173"/>
        <item x="113"/>
        <item x="750"/>
        <item x="240"/>
        <item x="703"/>
        <item x="364"/>
        <item x="481"/>
        <item x="68"/>
        <item x="33"/>
        <item x="52"/>
        <item x="614"/>
        <item x="961"/>
        <item x="761"/>
        <item x="322"/>
        <item x="933"/>
        <item x="677"/>
        <item x="192"/>
        <item x="690"/>
        <item x="946"/>
        <item x="381"/>
        <item x="359"/>
        <item x="706"/>
        <item x="307"/>
        <item x="720"/>
        <item x="421"/>
        <item x="667"/>
        <item x="169"/>
        <item x="726"/>
        <item x="130"/>
        <item x="249"/>
        <item x="666"/>
        <item x="499"/>
        <item x="776"/>
        <item x="6"/>
        <item x="230"/>
        <item x="411"/>
        <item x="871"/>
        <item x="960"/>
        <item x="679"/>
        <item x="872"/>
        <item x="38"/>
        <item x="296"/>
        <item x="399"/>
        <item x="216"/>
        <item x="869"/>
        <item x="757"/>
        <item x="65"/>
        <item x="508"/>
        <item x="51"/>
        <item x="361"/>
        <item x="456"/>
        <item x="127"/>
        <item x="446"/>
        <item x="729"/>
        <item x="913"/>
        <item x="379"/>
        <item x="348"/>
        <item x="624"/>
        <item x="897"/>
        <item x="282"/>
        <item x="909"/>
        <item x="939"/>
        <item x="895"/>
        <item x="55"/>
        <item x="332"/>
        <item x="577"/>
        <item x="835"/>
        <item x="159"/>
        <item x="930"/>
        <item x="182"/>
        <item x="875"/>
        <item x="527"/>
        <item x="209"/>
        <item x="500"/>
        <item x="538"/>
        <item x="924"/>
        <item x="940"/>
        <item x="917"/>
        <item x="785"/>
        <item x="100"/>
        <item x="101"/>
        <item x="129"/>
        <item x="501"/>
        <item x="937"/>
        <item x="84"/>
        <item x="189"/>
        <item x="286"/>
        <item x="341"/>
        <item x="226"/>
        <item x="522"/>
        <item x="35"/>
        <item x="789"/>
        <item x="492"/>
        <item x="532"/>
        <item x="542"/>
        <item x="759"/>
        <item x="619"/>
        <item x="360"/>
        <item x="339"/>
        <item x="367"/>
        <item x="773"/>
        <item x="363"/>
        <item x="919"/>
        <item x="87"/>
        <item x="756"/>
        <item x="400"/>
        <item x="534"/>
        <item x="112"/>
        <item x="585"/>
        <item x="604"/>
        <item x="343"/>
        <item x="382"/>
        <item x="842"/>
        <item x="229"/>
        <item x="188"/>
        <item x="340"/>
        <item x="119"/>
        <item x="691"/>
        <item x="22"/>
        <item x="333"/>
        <item x="281"/>
        <item x="858"/>
        <item x="613"/>
        <item x="844"/>
        <item x="204"/>
        <item x="56"/>
        <item x="576"/>
        <item x="556"/>
        <item x="453"/>
        <item x="712"/>
        <item x="525"/>
        <item x="571"/>
        <item x="210"/>
        <item x="941"/>
        <item x="496"/>
        <item x="494"/>
        <item x="826"/>
        <item x="292"/>
        <item x="879"/>
        <item x="692"/>
        <item x="647"/>
        <item x="799"/>
        <item x="345"/>
        <item x="193"/>
        <item x="260"/>
        <item x="699"/>
        <item x="911"/>
        <item x="117"/>
        <item x="784"/>
        <item x="277"/>
        <item x="579"/>
        <item x="318"/>
        <item x="685"/>
        <item x="375"/>
        <item x="659"/>
        <item x="969"/>
        <item x="440"/>
        <item x="698"/>
        <item x="374"/>
        <item x="308"/>
        <item x="451"/>
        <item x="305"/>
        <item x="272"/>
        <item x="958"/>
        <item x="19"/>
        <item x="434"/>
        <item x="336"/>
        <item x="668"/>
        <item x="644"/>
        <item x="455"/>
        <item x="196"/>
        <item x="671"/>
        <item x="94"/>
        <item x="214"/>
        <item x="774"/>
        <item x="334"/>
        <item x="433"/>
        <item x="20"/>
        <item x="144"/>
        <item x="543"/>
        <item x="330"/>
        <item x="483"/>
        <item x="707"/>
        <item x="31"/>
        <item x="10"/>
        <item x="523"/>
        <item x="781"/>
        <item x="478"/>
        <item x="297"/>
        <item x="435"/>
        <item x="294"/>
        <item x="443"/>
        <item x="466"/>
        <item x="529"/>
        <item x="88"/>
        <item x="681"/>
        <item x="53"/>
        <item x="938"/>
        <item x="444"/>
        <item x="402"/>
        <item x="716"/>
        <item x="429"/>
        <item x="524"/>
        <item x="598"/>
        <item x="180"/>
        <item x="815"/>
        <item x="798"/>
        <item x="460"/>
        <item x="645"/>
        <item x="145"/>
        <item x="745"/>
        <item x="441"/>
        <item x="93"/>
        <item x="231"/>
        <item x="617"/>
        <item x="171"/>
        <item x="346"/>
        <item x="181"/>
        <item x="158"/>
        <item x="396"/>
        <item x="482"/>
        <item x="389"/>
        <item x="18"/>
        <item x="503"/>
        <item x="597"/>
        <item x="120"/>
        <item x="708"/>
        <item x="58"/>
        <item x="329"/>
        <item x="800"/>
        <item x="469"/>
        <item x="25"/>
        <item x="956"/>
        <item x="405"/>
        <item x="406"/>
        <item x="387"/>
        <item x="670"/>
        <item x="568"/>
        <item x="951"/>
        <item x="164"/>
        <item x="906"/>
        <item x="331"/>
        <item x="352"/>
        <item x="243"/>
        <item x="873"/>
        <item x="898"/>
        <item x="964"/>
        <item x="300"/>
        <item x="320"/>
        <item x="439"/>
        <item x="211"/>
        <item x="632"/>
        <item x="358"/>
        <item x="428"/>
        <item x="365"/>
        <item x="246"/>
        <item x="856"/>
        <item x="390"/>
        <item x="497"/>
        <item x="860"/>
        <item x="218"/>
        <item x="350"/>
        <item x="393"/>
        <item x="280"/>
        <item x="283"/>
        <item x="110"/>
        <item x="161"/>
        <item x="861"/>
        <item x="894"/>
        <item x="607"/>
        <item x="672"/>
        <item x="403"/>
        <item x="915"/>
        <item x="721"/>
        <item x="816"/>
        <item x="596"/>
        <item x="316"/>
        <item x="465"/>
        <item x="427"/>
        <item x="487"/>
        <item x="167"/>
        <item x="780"/>
        <item x="0"/>
        <item x="311"/>
        <item x="278"/>
        <item x="714"/>
        <item x="555"/>
        <item x="422"/>
        <item x="45"/>
        <item x="378"/>
        <item x="474"/>
        <item x="315"/>
        <item x="14"/>
        <item x="252"/>
        <item x="558"/>
        <item x="259"/>
        <item x="373"/>
        <item x="767"/>
        <item x="198"/>
        <item x="802"/>
        <item x="190"/>
        <item x="528"/>
        <item x="114"/>
        <item x="327"/>
        <item x="50"/>
        <item x="688"/>
        <item x="79"/>
        <item x="247"/>
        <item x="609"/>
        <item x="337"/>
        <item x="978"/>
        <item x="479"/>
        <item x="185"/>
        <item x="485"/>
        <item x="581"/>
        <item x="850"/>
        <item x="13"/>
        <item x="731"/>
        <item x="689"/>
        <item x="560"/>
        <item x="115"/>
        <item x="752"/>
        <item x="83"/>
        <item x="241"/>
        <item x="295"/>
        <item x="976"/>
        <item x="77"/>
        <item x="601"/>
        <item x="437"/>
        <item x="790"/>
        <item x="245"/>
        <item x="877"/>
        <item x="148"/>
        <item x="41"/>
        <item x="902"/>
        <item x="544"/>
        <item x="732"/>
        <item x="834"/>
        <item x="301"/>
        <item x="335"/>
        <item x="833"/>
        <item x="398"/>
        <item x="425"/>
        <item x="656"/>
        <item x="324"/>
        <item x="907"/>
        <item x="134"/>
        <item x="932"/>
        <item x="934"/>
        <item x="203"/>
        <item x="838"/>
        <item x="477"/>
        <item x="146"/>
        <item x="959"/>
        <item x="136"/>
        <item x="746"/>
        <item x="605"/>
        <item x="736"/>
        <item x="741"/>
        <item x="754"/>
        <item x="256"/>
        <item x="592"/>
        <item x="968"/>
        <item x="154"/>
        <item x="383"/>
        <item x="366"/>
        <item x="197"/>
        <item x="493"/>
        <item x="606"/>
        <item x="889"/>
        <item x="419"/>
        <item x="147"/>
        <item x="764"/>
        <item x="386"/>
        <item x="447"/>
        <item x="881"/>
        <item x="141"/>
        <item x="62"/>
        <item x="916"/>
        <item x="847"/>
        <item x="979"/>
        <item x="232"/>
        <item x="257"/>
        <item x="274"/>
        <item x="238"/>
        <item x="866"/>
        <item x="36"/>
        <item x="748"/>
        <item x="454"/>
        <item x="289"/>
        <item x="863"/>
        <item x="928"/>
        <item x="974"/>
        <item x="896"/>
        <item x="76"/>
        <item x="258"/>
        <item x="347"/>
        <item x="713"/>
        <item x="887"/>
        <item x="814"/>
        <item x="223"/>
        <item x="498"/>
        <item x="40"/>
        <item x="954"/>
        <item x="42"/>
        <item x="89"/>
        <item x="846"/>
        <item x="30"/>
        <item x="541"/>
        <item x="701"/>
        <item x="824"/>
        <item x="599"/>
        <item x="208"/>
        <item x="96"/>
        <item x="225"/>
        <item x="865"/>
        <item x="765"/>
        <item x="771"/>
        <item x="730"/>
        <item x="111"/>
        <item x="682"/>
        <item x="516"/>
        <item x="878"/>
        <item x="104"/>
        <item x="572"/>
        <item x="418"/>
        <item x="253"/>
        <item x="357"/>
        <item x="362"/>
        <item x="884"/>
        <item x="199"/>
        <item x="140"/>
        <item x="202"/>
        <item x="593"/>
        <item x="408"/>
        <item x="642"/>
        <item x="810"/>
        <item x="468"/>
        <item x="178"/>
        <item x="931"/>
        <item x="302"/>
        <item x="217"/>
        <item x="269"/>
        <item x="143"/>
        <item x="649"/>
        <item x="106"/>
        <item x="342"/>
        <item x="903"/>
        <item x="882"/>
        <item x="220"/>
        <item x="588"/>
        <item x="622"/>
        <item x="747"/>
        <item x="626"/>
        <item x="845"/>
        <item x="133"/>
        <item x="763"/>
        <item x="118"/>
        <item x="97"/>
        <item x="612"/>
        <item x="822"/>
        <item x="306"/>
        <item x="122"/>
        <item x="514"/>
        <item x="69"/>
        <item x="779"/>
        <item x="654"/>
        <item x="73"/>
        <item x="457"/>
        <item x="325"/>
        <item x="890"/>
        <item x="275"/>
        <item x="124"/>
        <item x="86"/>
        <item x="973"/>
        <item x="751"/>
        <item x="484"/>
        <item x="693"/>
        <item x="205"/>
        <item x="26"/>
        <item x="17"/>
        <item x="123"/>
        <item x="436"/>
        <item x="719"/>
        <item x="631"/>
        <item x="450"/>
        <item x="888"/>
        <item x="540"/>
        <item x="777"/>
        <item x="738"/>
        <item x="458"/>
        <item x="813"/>
        <item x="955"/>
        <item x="899"/>
        <item x="502"/>
        <item x="778"/>
        <item x="504"/>
        <item x="971"/>
        <item x="57"/>
        <item x="125"/>
        <item x="821"/>
        <item x="830"/>
        <item x="8"/>
        <item x="298"/>
        <item x="710"/>
        <item x="392"/>
        <item x="537"/>
        <item x="819"/>
        <item t="default"/>
      </items>
    </pivotField>
    <pivotField dataField="1" showAll="0">
      <items count="993">
        <item x="561"/>
        <item x="276"/>
        <item x="810"/>
        <item x="251"/>
        <item x="267"/>
        <item x="242"/>
        <item x="792"/>
        <item x="797"/>
        <item x="745"/>
        <item x="162"/>
        <item x="975"/>
        <item x="23"/>
        <item x="613"/>
        <item x="586"/>
        <item x="355"/>
        <item x="936"/>
        <item x="197"/>
        <item x="835"/>
        <item x="514"/>
        <item x="254"/>
        <item x="16"/>
        <item x="683"/>
        <item x="958"/>
        <item x="133"/>
        <item x="874"/>
        <item x="898"/>
        <item x="639"/>
        <item x="967"/>
        <item x="763"/>
        <item x="223"/>
        <item x="82"/>
        <item x="168"/>
        <item x="582"/>
        <item x="667"/>
        <item x="760"/>
        <item x="439"/>
        <item x="391"/>
        <item x="650"/>
        <item x="474"/>
        <item x="566"/>
        <item x="698"/>
        <item x="1"/>
        <item x="158"/>
        <item x="856"/>
        <item x="323"/>
        <item x="265"/>
        <item x="156"/>
        <item x="395"/>
        <item x="767"/>
        <item x="225"/>
        <item x="774"/>
        <item x="408"/>
        <item x="845"/>
        <item x="552"/>
        <item x="83"/>
        <item x="934"/>
        <item x="65"/>
        <item x="721"/>
        <item x="509"/>
        <item x="824"/>
        <item x="72"/>
        <item x="370"/>
        <item x="537"/>
        <item x="833"/>
        <item x="106"/>
        <item x="209"/>
        <item x="959"/>
        <item x="547"/>
        <item x="907"/>
        <item x="713"/>
        <item x="266"/>
        <item x="132"/>
        <item x="108"/>
        <item x="179"/>
        <item x="911"/>
        <item x="465"/>
        <item x="310"/>
        <item x="354"/>
        <item x="589"/>
        <item x="521"/>
        <item x="460"/>
        <item x="99"/>
        <item x="284"/>
        <item x="765"/>
        <item x="143"/>
        <item x="450"/>
        <item x="775"/>
        <item x="808"/>
        <item x="956"/>
        <item x="401"/>
        <item x="631"/>
        <item x="575"/>
        <item x="933"/>
        <item x="432"/>
        <item x="152"/>
        <item x="523"/>
        <item x="653"/>
        <item x="800"/>
        <item x="961"/>
        <item x="39"/>
        <item x="954"/>
        <item x="255"/>
        <item x="796"/>
        <item x="188"/>
        <item x="34"/>
        <item x="196"/>
        <item x="214"/>
        <item x="304"/>
        <item x="875"/>
        <item x="63"/>
        <item x="385"/>
        <item x="973"/>
        <item x="194"/>
        <item x="244"/>
        <item x="729"/>
        <item x="781"/>
        <item x="682"/>
        <item x="920"/>
        <item x="635"/>
        <item x="793"/>
        <item x="904"/>
        <item x="282"/>
        <item x="68"/>
        <item x="632"/>
        <item x="91"/>
        <item x="211"/>
        <item x="972"/>
        <item x="949"/>
        <item x="48"/>
        <item x="831"/>
        <item x="493"/>
        <item x="377"/>
        <item x="584"/>
        <item x="688"/>
        <item x="926"/>
        <item x="559"/>
        <item x="326"/>
        <item x="190"/>
        <item x="22"/>
        <item x="333"/>
        <item x="678"/>
        <item x="497"/>
        <item x="495"/>
        <item x="449"/>
        <item x="71"/>
        <item x="533"/>
        <item x="248"/>
        <item x="176"/>
        <item x="838"/>
        <item x="272"/>
        <item x="659"/>
        <item x="136"/>
        <item x="636"/>
        <item x="602"/>
        <item x="673"/>
        <item x="434"/>
        <item x="468"/>
        <item x="31"/>
        <item x="380"/>
        <item x="531"/>
        <item x="481"/>
        <item x="600"/>
        <item x="681"/>
        <item x="928"/>
        <item x="328"/>
        <item x="532"/>
        <item x="186"/>
        <item x="805"/>
        <item x="288"/>
        <item x="406"/>
        <item x="407"/>
        <item x="633"/>
        <item x="642"/>
        <item x="446"/>
        <item x="919"/>
        <item x="9"/>
        <item x="862"/>
        <item x="866"/>
        <item x="353"/>
        <item x="246"/>
        <item x="665"/>
        <item x="219"/>
        <item x="697"/>
        <item x="233"/>
        <item x="706"/>
        <item x="851"/>
        <item x="27"/>
        <item x="517"/>
        <item x="951"/>
        <item x="487"/>
        <item x="854"/>
        <item x="92"/>
        <item x="45"/>
        <item x="259"/>
        <item x="200"/>
        <item x="927"/>
        <item x="116"/>
        <item x="756"/>
        <item x="424"/>
        <item x="140"/>
        <item x="41"/>
        <item x="735"/>
        <item x="658"/>
        <item x="553"/>
        <item x="129"/>
        <item x="860"/>
        <item x="279"/>
        <item x="746"/>
        <item x="256"/>
        <item x="383"/>
        <item x="551"/>
        <item x="608"/>
        <item x="896"/>
        <item x="148"/>
        <item x="811"/>
        <item x="321"/>
        <item x="257"/>
        <item x="61"/>
        <item x="814"/>
        <item x="394"/>
        <item x="605"/>
        <item x="216"/>
        <item x="711"/>
        <item x="894"/>
        <item x="823"/>
        <item x="820"/>
        <item x="12"/>
        <item x="892"/>
        <item x="908"/>
        <item x="151"/>
        <item x="28"/>
        <item x="508"/>
        <item x="410"/>
        <item x="846"/>
        <item x="859"/>
        <item x="595"/>
        <item x="409"/>
        <item x="519"/>
        <item x="707"/>
        <item x="623"/>
        <item x="725"/>
        <item x="548"/>
        <item x="743"/>
        <item x="411"/>
        <item x="98"/>
        <item x="44"/>
        <item x="718"/>
        <item x="471"/>
        <item x="74"/>
        <item x="571"/>
        <item x="507"/>
        <item x="125"/>
        <item x="462"/>
        <item x="139"/>
        <item x="890"/>
        <item x="837"/>
        <item x="705"/>
        <item x="506"/>
        <item x="392"/>
        <item x="692"/>
        <item x="676"/>
        <item x="737"/>
        <item x="73"/>
        <item x="131"/>
        <item x="597"/>
        <item x="738"/>
        <item x="104"/>
        <item x="96"/>
        <item x="655"/>
        <item x="604"/>
        <item x="753"/>
        <item x="217"/>
        <item x="522"/>
        <item x="66"/>
        <item x="457"/>
        <item x="662"/>
        <item x="100"/>
        <item x="627"/>
        <item x="989"/>
        <item x="109"/>
        <item x="841"/>
        <item x="529"/>
        <item x="569"/>
        <item x="664"/>
        <item x="103"/>
        <item x="75"/>
        <item x="341"/>
        <item x="944"/>
        <item x="764"/>
        <item x="367"/>
        <item x="54"/>
        <item x="536"/>
        <item x="520"/>
        <item x="689"/>
        <item x="660"/>
        <item x="578"/>
        <item x="290"/>
        <item x="235"/>
        <item x="319"/>
        <item x="666"/>
        <item x="239"/>
        <item x="637"/>
        <item x="262"/>
        <item x="591"/>
        <item x="758"/>
        <item x="618"/>
        <item x="222"/>
        <item x="869"/>
        <item x="181"/>
        <item x="153"/>
        <item x="730"/>
        <item x="405"/>
        <item x="110"/>
        <item x="654"/>
        <item x="415"/>
        <item x="491"/>
        <item x="456"/>
        <item x="198"/>
        <item x="565"/>
        <item x="626"/>
        <item x="47"/>
        <item x="801"/>
        <item x="675"/>
        <item x="788"/>
        <item x="881"/>
        <item x="576"/>
        <item x="749"/>
        <item x="596"/>
        <item x="94"/>
        <item x="231"/>
        <item x="11"/>
        <item x="464"/>
        <item x="93"/>
        <item x="731"/>
        <item x="329"/>
        <item x="470"/>
        <item x="979"/>
        <item x="913"/>
        <item x="984"/>
        <item x="568"/>
        <item x="285"/>
        <item x="4"/>
        <item x="122"/>
        <item x="588"/>
        <item x="368"/>
        <item x="617"/>
        <item x="431"/>
        <item x="809"/>
        <item x="313"/>
        <item x="418"/>
        <item x="679"/>
        <item x="24"/>
        <item x="777"/>
        <item x="955"/>
        <item x="283"/>
        <item x="868"/>
        <item x="554"/>
        <item x="249"/>
        <item x="384"/>
        <item x="744"/>
        <item x="978"/>
        <item x="314"/>
        <item x="787"/>
        <item x="953"/>
        <item x="931"/>
        <item x="115"/>
        <item x="170"/>
        <item x="443"/>
        <item x="178"/>
        <item x="640"/>
        <item x="425"/>
        <item x="312"/>
        <item x="657"/>
        <item x="603"/>
        <item x="727"/>
        <item x="977"/>
        <item x="263"/>
        <item x="925"/>
        <item x="943"/>
        <item x="388"/>
        <item x="264"/>
        <item x="541"/>
        <item x="174"/>
        <item x="750"/>
        <item x="130"/>
        <item x="946"/>
        <item x="85"/>
        <item x="167"/>
        <item x="286"/>
        <item x="638"/>
        <item x="794"/>
        <item x="117"/>
        <item x="680"/>
        <item x="871"/>
        <item x="363"/>
        <item x="757"/>
        <item x="761"/>
        <item x="564"/>
        <item x="587"/>
        <item x="873"/>
        <item x="36"/>
        <item x="382"/>
        <item x="67"/>
        <item x="748"/>
        <item x="843"/>
        <item x="937"/>
        <item x="535"/>
        <item x="641"/>
        <item x="616"/>
        <item x="747"/>
        <item x="921"/>
        <item x="356"/>
        <item x="686"/>
        <item x="210"/>
        <item x="250"/>
        <item x="76"/>
        <item x="628"/>
        <item x="492"/>
        <item x="303"/>
        <item x="733"/>
        <item x="253"/>
        <item x="974"/>
        <item x="962"/>
        <item x="141"/>
        <item x="195"/>
        <item x="469"/>
        <item x="180"/>
        <item x="842"/>
        <item x="427"/>
        <item x="271"/>
        <item x="221"/>
        <item x="220"/>
        <item x="671"/>
        <item x="751"/>
        <item x="850"/>
        <item x="119"/>
        <item x="848"/>
        <item x="202"/>
        <item x="828"/>
        <item x="123"/>
        <item x="877"/>
        <item x="755"/>
        <item x="207"/>
        <item x="883"/>
        <item x="722"/>
        <item x="165"/>
        <item x="567"/>
        <item x="371"/>
        <item x="782"/>
        <item x="742"/>
        <item x="965"/>
        <item x="364"/>
        <item x="52"/>
        <item x="779"/>
        <item x="726"/>
        <item x="473"/>
        <item x="298"/>
        <item x="619"/>
        <item x="528"/>
        <item x="621"/>
        <item x="812"/>
        <item x="663"/>
        <item x="479"/>
        <item x="555"/>
        <item x="511"/>
        <item x="855"/>
        <item x="294"/>
        <item x="512"/>
        <item x="947"/>
        <item x="668"/>
        <item x="500"/>
        <item x="430"/>
        <item x="526"/>
        <item x="957"/>
        <item x="461"/>
        <item x="185"/>
        <item x="146"/>
        <item x="620"/>
        <item x="818"/>
        <item x="736"/>
        <item x="577"/>
        <item x="203"/>
        <item x="166"/>
        <item x="720"/>
        <item x="261"/>
        <item x="3"/>
        <item x="939"/>
        <item x="273"/>
        <item x="159"/>
        <item x="540"/>
        <item x="863"/>
        <item x="932"/>
        <item x="938"/>
        <item x="982"/>
        <item x="592"/>
        <item x="213"/>
        <item x="208"/>
        <item x="237"/>
        <item x="472"/>
        <item x="503"/>
        <item x="917"/>
        <item x="163"/>
        <item x="550"/>
        <item x="15"/>
        <item x="952"/>
        <item x="560"/>
        <item x="369"/>
        <item x="772"/>
        <item x="229"/>
        <item x="815"/>
        <item x="351"/>
        <item x="120"/>
        <item x="193"/>
        <item x="580"/>
        <item x="50"/>
        <item x="80"/>
        <item x="612"/>
        <item x="912"/>
        <item x="5"/>
        <item x="480"/>
        <item x="583"/>
        <item x="734"/>
        <item x="562"/>
        <item x="714"/>
        <item x="295"/>
        <item x="309"/>
        <item x="438"/>
        <item x="453"/>
        <item x="893"/>
        <item x="909"/>
        <item x="301"/>
        <item x="32"/>
        <item x="324"/>
        <item x="861"/>
        <item x="844"/>
        <item x="496"/>
        <item x="887"/>
        <item x="60"/>
        <item x="37"/>
        <item x="799"/>
        <item x="773"/>
        <item x="915"/>
        <item x="29"/>
        <item x="296"/>
        <item x="305"/>
        <item x="741"/>
        <item x="510"/>
        <item x="513"/>
        <item x="361"/>
        <item x="752"/>
        <item x="455"/>
        <item x="732"/>
        <item x="870"/>
        <item x="330"/>
        <item x="127"/>
        <item x="299"/>
        <item x="436"/>
        <item x="89"/>
        <item x="490"/>
        <item x="21"/>
        <item x="349"/>
        <item x="226"/>
        <item x="549"/>
        <item x="184"/>
        <item x="776"/>
        <item x="646"/>
        <item x="685"/>
        <item x="49"/>
        <item x="611"/>
        <item x="924"/>
        <item x="483"/>
        <item x="599"/>
        <item x="614"/>
        <item x="900"/>
        <item x="966"/>
        <item x="813"/>
        <item x="154"/>
        <item x="387"/>
        <item x="768"/>
        <item x="960"/>
        <item x="372"/>
        <item x="622"/>
        <item x="858"/>
        <item x="339"/>
        <item x="306"/>
        <item x="43"/>
        <item x="656"/>
        <item x="644"/>
        <item x="287"/>
        <item x="26"/>
        <item x="400"/>
        <item x="826"/>
        <item x="440"/>
        <item x="376"/>
        <item x="317"/>
        <item x="2"/>
        <item x="945"/>
        <item x="504"/>
        <item x="864"/>
        <item x="86"/>
        <item x="81"/>
        <item x="381"/>
        <item x="454"/>
        <item x="307"/>
        <item x="728"/>
        <item x="648"/>
        <item x="901"/>
        <item x="802"/>
        <item x="950"/>
        <item x="515"/>
        <item x="624"/>
        <item x="878"/>
        <item x="593"/>
        <item x="964"/>
        <item x="277"/>
        <item x="51"/>
        <item x="690"/>
        <item x="585"/>
        <item x="247"/>
        <item x="661"/>
        <item x="780"/>
        <item x="236"/>
        <item x="348"/>
        <item x="538"/>
        <item x="476"/>
        <item x="463"/>
        <item x="55"/>
        <item x="579"/>
        <item x="829"/>
        <item x="79"/>
        <item x="435"/>
        <item x="161"/>
        <item x="421"/>
        <item x="413"/>
        <item x="215"/>
        <item x="834"/>
        <item x="398"/>
        <item x="699"/>
        <item x="426"/>
        <item x="798"/>
        <item x="135"/>
        <item x="709"/>
        <item x="433"/>
        <item x="138"/>
        <item x="172"/>
        <item x="630"/>
        <item x="228"/>
        <item x="155"/>
        <item x="445"/>
        <item x="524"/>
        <item x="268"/>
        <item x="150"/>
        <item x="652"/>
        <item x="240"/>
        <item x="544"/>
        <item x="322"/>
        <item x="344"/>
        <item x="806"/>
        <item x="183"/>
        <item x="396"/>
        <item x="389"/>
        <item x="572"/>
        <item x="771"/>
        <item x="693"/>
        <item x="723"/>
        <item x="986"/>
        <item x="422"/>
        <item x="669"/>
        <item x="171"/>
        <item x="397"/>
        <item x="281"/>
        <item x="791"/>
        <item x="270"/>
        <item x="291"/>
        <item x="46"/>
        <item x="230"/>
        <item x="56"/>
        <item x="399"/>
        <item x="59"/>
        <item x="177"/>
        <item x="976"/>
        <item x="97"/>
        <item x="832"/>
        <item x="447"/>
        <item x="379"/>
        <item x="804"/>
        <item x="189"/>
        <item x="987"/>
        <item x="489"/>
        <item x="940"/>
        <item x="867"/>
        <item x="269"/>
        <item x="7"/>
        <item x="563"/>
        <item x="651"/>
        <item x="902"/>
        <item x="687"/>
        <item x="889"/>
        <item x="477"/>
        <item x="417"/>
        <item x="134"/>
        <item x="615"/>
        <item x="516"/>
        <item x="70"/>
        <item x="784"/>
        <item x="704"/>
        <item x="311"/>
        <item x="278"/>
        <item x="275"/>
        <item x="985"/>
        <item x="485"/>
        <item x="124"/>
        <item x="14"/>
        <item x="114"/>
        <item x="790"/>
        <item x="819"/>
        <item x="906"/>
        <item x="192"/>
        <item x="930"/>
        <item x="33"/>
        <item x="327"/>
        <item x="8"/>
        <item x="64"/>
        <item x="942"/>
        <item x="484"/>
        <item x="825"/>
        <item x="534"/>
        <item x="359"/>
        <item x="78"/>
        <item x="88"/>
        <item x="293"/>
        <item x="795"/>
        <item x="245"/>
        <item x="182"/>
        <item x="416"/>
        <item x="821"/>
        <item x="38"/>
        <item x="803"/>
        <item x="338"/>
        <item x="442"/>
        <item x="941"/>
        <item x="876"/>
        <item x="865"/>
        <item x="205"/>
        <item x="234"/>
        <item x="849"/>
        <item x="128"/>
        <item x="677"/>
        <item x="121"/>
        <item x="980"/>
        <item x="164"/>
        <item x="556"/>
        <item x="672"/>
        <item x="570"/>
        <item x="769"/>
        <item x="292"/>
        <item x="916"/>
        <item x="888"/>
        <item x="243"/>
        <item x="853"/>
        <item x="414"/>
        <item x="701"/>
        <item x="696"/>
        <item x="289"/>
        <item x="702"/>
        <item x="318"/>
        <item x="358"/>
        <item x="429"/>
        <item x="482"/>
        <item x="69"/>
        <item x="899"/>
        <item x="347"/>
        <item x="102"/>
        <item x="502"/>
        <item x="40"/>
        <item x="350"/>
        <item x="817"/>
        <item x="111"/>
        <item x="227"/>
        <item x="830"/>
        <item x="601"/>
        <item x="35"/>
        <item x="19"/>
        <item x="316"/>
        <item x="428"/>
        <item x="770"/>
        <item x="6"/>
        <item x="95"/>
        <item x="412"/>
        <item x="739"/>
        <item x="545"/>
        <item x="201"/>
        <item x="423"/>
        <item x="10"/>
        <item x="762"/>
        <item x="847"/>
        <item x="297"/>
        <item x="530"/>
        <item x="684"/>
        <item x="403"/>
        <item x="857"/>
        <item x="206"/>
        <item x="558"/>
        <item x="948"/>
        <item x="175"/>
        <item x="332"/>
        <item x="754"/>
        <item x="884"/>
        <item x="935"/>
        <item x="649"/>
        <item x="57"/>
        <item x="840"/>
        <item x="58"/>
        <item x="335"/>
        <item x="766"/>
        <item x="882"/>
        <item x="25"/>
        <item x="260"/>
        <item x="501"/>
        <item x="789"/>
        <item x="914"/>
        <item x="581"/>
        <item x="969"/>
        <item x="137"/>
        <item x="375"/>
        <item x="607"/>
        <item x="708"/>
        <item x="880"/>
        <item x="759"/>
        <item x="981"/>
        <item x="191"/>
        <item x="441"/>
        <item x="366"/>
        <item x="970"/>
        <item x="879"/>
        <item x="374"/>
        <item x="308"/>
        <item x="452"/>
        <item x="923"/>
        <item x="778"/>
        <item x="498"/>
        <item x="670"/>
        <item x="274"/>
        <item x="238"/>
        <item x="145"/>
        <item x="258"/>
        <item x="610"/>
        <item x="674"/>
        <item x="466"/>
        <item x="499"/>
        <item x="444"/>
        <item x="467"/>
        <item x="378"/>
        <item x="315"/>
        <item x="527"/>
        <item x="694"/>
        <item x="574"/>
        <item x="929"/>
        <item x="362"/>
        <item x="187"/>
        <item x="346"/>
        <item x="918"/>
        <item x="160"/>
        <item x="101"/>
        <item x="691"/>
        <item x="144"/>
        <item x="629"/>
        <item x="360"/>
        <item x="331"/>
        <item x="839"/>
        <item x="897"/>
        <item x="87"/>
        <item x="113"/>
        <item x="606"/>
        <item x="300"/>
        <item x="343"/>
        <item x="478"/>
        <item x="895"/>
        <item x="147"/>
        <item x="340"/>
        <item x="645"/>
        <item x="712"/>
        <item x="199"/>
        <item x="420"/>
        <item x="525"/>
        <item x="786"/>
        <item x="573"/>
        <item x="212"/>
        <item x="53"/>
        <item x="598"/>
        <item x="488"/>
        <item x="169"/>
        <item x="886"/>
        <item x="557"/>
        <item x="903"/>
        <item x="345"/>
        <item x="475"/>
        <item x="118"/>
        <item x="252"/>
        <item x="717"/>
        <item x="18"/>
        <item x="543"/>
        <item x="13"/>
        <item x="700"/>
        <item x="112"/>
        <item x="885"/>
        <item x="609"/>
        <item x="968"/>
        <item x="336"/>
        <item x="320"/>
        <item x="334"/>
        <item x="20"/>
        <item x="365"/>
        <item x="325"/>
        <item x="594"/>
        <item x="157"/>
        <item x="402"/>
        <item x="719"/>
        <item x="451"/>
        <item x="971"/>
        <item x="404"/>
        <item x="922"/>
        <item x="386"/>
        <item x="783"/>
        <item x="983"/>
        <item x="448"/>
        <item x="785"/>
        <item x="991"/>
        <item x="716"/>
        <item x="173"/>
        <item x="539"/>
        <item x="373"/>
        <item x="505"/>
        <item x="710"/>
        <item x="337"/>
        <item x="715"/>
        <item x="224"/>
        <item x="352"/>
        <item x="42"/>
        <item x="90"/>
        <item x="905"/>
        <item x="84"/>
        <item x="703"/>
        <item x="149"/>
        <item x="105"/>
        <item x="546"/>
        <item x="891"/>
        <item x="390"/>
        <item x="643"/>
        <item x="816"/>
        <item x="218"/>
        <item x="647"/>
        <item x="393"/>
        <item x="280"/>
        <item x="740"/>
        <item x="724"/>
        <item x="822"/>
        <item x="494"/>
        <item x="0"/>
        <item x="437"/>
        <item x="142"/>
        <item x="634"/>
        <item x="232"/>
        <item x="459"/>
        <item x="807"/>
        <item x="126"/>
        <item x="990"/>
        <item x="77"/>
        <item x="486"/>
        <item x="241"/>
        <item x="988"/>
        <item x="963"/>
        <item x="30"/>
        <item x="357"/>
        <item x="204"/>
        <item x="302"/>
        <item x="107"/>
        <item x="910"/>
        <item x="62"/>
        <item x="458"/>
        <item x="17"/>
        <item x="542"/>
        <item x="827"/>
        <item x="836"/>
        <item x="852"/>
        <item x="872"/>
        <item x="518"/>
        <item x="419"/>
        <item x="342"/>
        <item x="590"/>
        <item x="625"/>
        <item x="695"/>
        <item t="default"/>
      </items>
    </pivotField>
  </pivotFields>
  <rowFields count="1">
    <field x="0"/>
  </rowFields>
  <rowItems count="4">
    <i>
      <x/>
    </i>
    <i>
      <x v="2"/>
    </i>
    <i>
      <x v="3"/>
    </i>
    <i t="grand">
      <x/>
    </i>
  </rowItems>
  <colItems count="1">
    <i/>
  </colItems>
  <dataFields count="1">
    <dataField name="Sum of Sales" fld="6" baseField="0" baseItem="0"/>
  </dataFields>
  <pivotTableStyleInfo name="PivotStyleLight16" showRowHeaders="1" showColHeaders="1" showRowStripes="0" showColStripes="0" showLastColumn="1"/>
  <filters count="1">
    <filter fld="0"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55C272-34A5-44E0-845A-358126C62F8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8:F45" firstHeaderRow="1" firstDataRow="2" firstDataCol="1"/>
  <pivotFields count="7">
    <pivotField showAll="0">
      <items count="6">
        <item x="1"/>
        <item x="3"/>
        <item x="2"/>
        <item x="0"/>
        <item x="4"/>
        <item t="default"/>
      </items>
    </pivotField>
    <pivotField axis="axisCol" showAll="0">
      <items count="5">
        <item x="2"/>
        <item x="0"/>
        <item x="1"/>
        <item x="3"/>
        <item t="default"/>
      </items>
    </pivotField>
    <pivotField axis="axisRow" showAll="0">
      <items count="6">
        <item x="3"/>
        <item x="1"/>
        <item x="0"/>
        <item x="4"/>
        <item x="2"/>
        <item t="default"/>
      </items>
    </pivotField>
    <pivotField showAll="0">
      <items count="7">
        <item x="2"/>
        <item x="0"/>
        <item x="4"/>
        <item x="5"/>
        <item x="3"/>
        <item x="1"/>
        <item t="default"/>
      </items>
    </pivotField>
    <pivotField showAll="0"/>
    <pivotField showAll="0">
      <items count="981">
        <item x="927"/>
        <item x="473"/>
        <item x="23"/>
        <item x="82"/>
        <item x="559"/>
        <item x="610"/>
        <item x="391"/>
        <item x="242"/>
        <item x="105"/>
        <item x="276"/>
        <item x="805"/>
        <item x="438"/>
        <item x="207"/>
        <item x="521"/>
        <item x="160"/>
        <item x="251"/>
        <item x="949"/>
        <item x="267"/>
        <item x="535"/>
        <item x="755"/>
        <item x="355"/>
        <item x="868"/>
        <item x="63"/>
        <item x="385"/>
        <item x="829"/>
        <item x="354"/>
        <item x="827"/>
        <item x="770"/>
        <item x="70"/>
        <item x="900"/>
        <item x="224"/>
        <item x="531"/>
        <item x="377"/>
        <item x="248"/>
        <item x="16"/>
        <item x="676"/>
        <item x="174"/>
        <item x="696"/>
        <item x="657"/>
        <item x="957"/>
        <item x="762"/>
        <item x="266"/>
        <item x="841"/>
        <item x="787"/>
        <item x="718"/>
        <item x="806"/>
        <item x="817"/>
        <item x="641"/>
        <item x="151"/>
        <item x="629"/>
        <item x="840"/>
        <item x="825"/>
        <item x="792"/>
        <item x="740"/>
        <item x="1"/>
        <item x="557"/>
        <item x="883"/>
        <item x="304"/>
        <item x="107"/>
        <item x="920"/>
        <item x="901"/>
        <item x="72"/>
        <item x="423"/>
        <item x="519"/>
        <item x="132"/>
        <item x="98"/>
        <item x="551"/>
        <item x="722"/>
        <item x="867"/>
        <item x="947"/>
        <item x="638"/>
        <item x="926"/>
        <item x="885"/>
        <item x="64"/>
        <item x="28"/>
        <item x="520"/>
        <item x="852"/>
        <item x="963"/>
        <item x="517"/>
        <item x="945"/>
        <item x="660"/>
        <item x="222"/>
        <item x="658"/>
        <item x="108"/>
        <item x="445"/>
        <item x="138"/>
        <item x="549"/>
        <item x="448"/>
        <item x="9"/>
        <item x="166"/>
        <item x="545"/>
        <item x="749"/>
        <item x="467"/>
        <item x="290"/>
        <item x="380"/>
        <item x="319"/>
        <item x="636"/>
        <item x="684"/>
        <item x="67"/>
        <item x="615"/>
        <item x="530"/>
        <item x="288"/>
        <item x="803"/>
        <item x="972"/>
        <item x="490"/>
        <item x="912"/>
        <item x="95"/>
        <item x="326"/>
        <item x="602"/>
        <item x="368"/>
        <item x="156"/>
        <item x="855"/>
        <item x="313"/>
        <item x="99"/>
        <item x="409"/>
        <item x="952"/>
        <item x="92"/>
        <item x="791"/>
        <item x="620"/>
        <item x="410"/>
        <item x="312"/>
        <item x="743"/>
        <item x="584"/>
        <item x="139"/>
        <item x="831"/>
        <item x="417"/>
        <item x="244"/>
        <item x="518"/>
        <item x="172"/>
        <item x="279"/>
        <item x="687"/>
        <item x="734"/>
        <item x="195"/>
        <item x="507"/>
        <item x="574"/>
        <item x="818"/>
        <item x="262"/>
        <item x="370"/>
        <item x="837"/>
        <item x="512"/>
        <item x="12"/>
        <item x="254"/>
        <item x="950"/>
        <item x="353"/>
        <item x="48"/>
        <item x="414"/>
        <item x="102"/>
        <item x="663"/>
        <item x="563"/>
        <item x="695"/>
        <item x="582"/>
        <item x="686"/>
        <item x="384"/>
        <item x="569"/>
        <item x="486"/>
        <item x="874"/>
        <item x="634"/>
        <item x="314"/>
        <item x="680"/>
        <item x="176"/>
        <item x="472"/>
        <item x="356"/>
        <item x="424"/>
        <item x="904"/>
        <item x="967"/>
        <item x="595"/>
        <item x="285"/>
        <item x="426"/>
        <item x="586"/>
        <item x="812"/>
        <item x="219"/>
        <item x="430"/>
        <item x="727"/>
        <item x="804"/>
        <item x="575"/>
        <item x="401"/>
        <item x="891"/>
        <item x="321"/>
        <item x="135"/>
        <item x="635"/>
        <item x="623"/>
        <item x="394"/>
        <item x="603"/>
        <item x="640"/>
        <item x="431"/>
        <item x="848"/>
        <item x="923"/>
        <item x="206"/>
        <item x="758"/>
        <item x="480"/>
        <item x="506"/>
        <item x="655"/>
        <item x="921"/>
        <item x="724"/>
        <item x="54"/>
        <item x="953"/>
        <item x="705"/>
        <item x="965"/>
        <item x="186"/>
        <item x="227"/>
        <item x="918"/>
        <item x="715"/>
        <item x="165"/>
        <item x="81"/>
        <item x="565"/>
        <item x="121"/>
        <item x="239"/>
        <item x="273"/>
        <item x="886"/>
        <item x="723"/>
        <item x="589"/>
        <item x="580"/>
        <item x="772"/>
        <item x="66"/>
        <item x="237"/>
        <item x="744"/>
        <item x="665"/>
        <item x="233"/>
        <item x="733"/>
        <item x="548"/>
        <item x="533"/>
        <item x="37"/>
        <item x="653"/>
        <item x="948"/>
        <item x="404"/>
        <item x="652"/>
        <item x="75"/>
        <item x="633"/>
        <item x="788"/>
        <item x="977"/>
        <item x="648"/>
        <item x="299"/>
        <item x="717"/>
        <item x="309"/>
        <item x="90"/>
        <item x="567"/>
        <item x="128"/>
        <item x="163"/>
        <item x="371"/>
        <item x="970"/>
        <item x="495"/>
        <item x="880"/>
        <item x="728"/>
        <item x="74"/>
        <item x="637"/>
        <item x="910"/>
        <item x="564"/>
        <item x="864"/>
        <item x="753"/>
        <item x="510"/>
        <item x="511"/>
        <item x="4"/>
        <item x="820"/>
        <item x="369"/>
        <item x="317"/>
        <item x="2"/>
        <item x="936"/>
        <item x="849"/>
        <item x="24"/>
        <item x="323"/>
        <item x="742"/>
        <item x="80"/>
        <item x="265"/>
        <item x="155"/>
        <item x="646"/>
        <item x="235"/>
        <item x="683"/>
        <item x="552"/>
        <item x="201"/>
        <item x="491"/>
        <item x="395"/>
        <item x="962"/>
        <item x="966"/>
        <item x="854"/>
        <item x="782"/>
        <item x="221"/>
        <item x="546"/>
        <item x="179"/>
        <item x="739"/>
        <item x="769"/>
        <item x="775"/>
        <item x="152"/>
        <item x="843"/>
        <item x="929"/>
        <item x="44"/>
        <item x="407"/>
        <item x="470"/>
        <item x="908"/>
        <item x="839"/>
        <item x="29"/>
        <item x="639"/>
        <item x="461"/>
        <item x="109"/>
        <item x="832"/>
        <item x="550"/>
        <item x="462"/>
        <item x="600"/>
        <item x="616"/>
        <item x="793"/>
        <item x="674"/>
        <item x="264"/>
        <item x="137"/>
        <item x="809"/>
        <item x="351"/>
        <item x="796"/>
        <item x="553"/>
        <item x="509"/>
        <item x="797"/>
        <item x="228"/>
        <item x="513"/>
        <item x="621"/>
        <item x="268"/>
        <item x="103"/>
        <item x="591"/>
        <item x="678"/>
        <item x="608"/>
        <item x="452"/>
        <item x="11"/>
        <item x="328"/>
        <item x="463"/>
        <item x="71"/>
        <item x="184"/>
        <item x="766"/>
        <item x="611"/>
        <item x="397"/>
        <item x="475"/>
        <item x="630"/>
        <item x="851"/>
        <item x="43"/>
        <item x="914"/>
        <item x="643"/>
        <item x="261"/>
        <item x="566"/>
        <item x="60"/>
        <item x="175"/>
        <item x="768"/>
        <item x="412"/>
        <item x="625"/>
        <item x="3"/>
        <item x="376"/>
        <item x="303"/>
        <item x="697"/>
        <item x="157"/>
        <item x="859"/>
        <item x="857"/>
        <item x="662"/>
        <item x="590"/>
        <item x="85"/>
        <item x="836"/>
        <item x="561"/>
        <item x="725"/>
        <item x="711"/>
        <item x="704"/>
        <item x="935"/>
        <item x="149"/>
        <item x="650"/>
        <item x="27"/>
        <item x="200"/>
        <item x="515"/>
        <item x="942"/>
        <item x="91"/>
        <item x="489"/>
        <item x="15"/>
        <item x="21"/>
        <item x="131"/>
        <item x="570"/>
        <item x="547"/>
        <item x="944"/>
        <item x="191"/>
        <item x="177"/>
        <item x="168"/>
        <item x="583"/>
        <item x="49"/>
        <item x="46"/>
        <item x="905"/>
        <item x="442"/>
        <item x="536"/>
        <item x="526"/>
        <item x="618"/>
        <item x="661"/>
        <item x="664"/>
        <item x="464"/>
        <item x="893"/>
        <item x="807"/>
        <item x="310"/>
        <item x="372"/>
        <item x="420"/>
        <item x="587"/>
        <item x="459"/>
        <item x="187"/>
        <item x="32"/>
        <item x="263"/>
        <item x="338"/>
        <item x="183"/>
        <item x="284"/>
        <item x="388"/>
        <item x="760"/>
        <item x="853"/>
        <item x="432"/>
        <item x="142"/>
        <item x="539"/>
        <item x="862"/>
        <item x="476"/>
        <item x="675"/>
        <item x="416"/>
        <item x="449"/>
        <item x="794"/>
        <item x="162"/>
        <item x="554"/>
        <item x="116"/>
        <item x="413"/>
        <item x="562"/>
        <item x="737"/>
        <item x="344"/>
        <item x="628"/>
        <item x="61"/>
        <item x="801"/>
        <item x="922"/>
        <item x="700"/>
        <item x="808"/>
        <item x="215"/>
        <item x="892"/>
        <item x="573"/>
        <item x="126"/>
        <item x="786"/>
        <item x="925"/>
        <item x="270"/>
        <item x="709"/>
        <item x="291"/>
        <item x="47"/>
        <item x="673"/>
        <item x="783"/>
        <item x="212"/>
        <item x="293"/>
        <item x="811"/>
        <item x="150"/>
        <item x="59"/>
        <item x="471"/>
        <item x="236"/>
        <item x="651"/>
        <item x="349"/>
        <item x="250"/>
        <item x="415"/>
        <item x="594"/>
        <item x="795"/>
        <item x="735"/>
        <item x="975"/>
        <item x="488"/>
        <item x="234"/>
        <item x="823"/>
        <item x="943"/>
        <item x="78"/>
        <item x="39"/>
        <item x="255"/>
        <item x="7"/>
        <item x="828"/>
        <item x="271"/>
        <item x="578"/>
        <item x="669"/>
        <item x="153"/>
        <item x="34"/>
        <item x="5"/>
        <item x="194"/>
        <item x="170"/>
        <item x="870"/>
        <item x="287"/>
        <item x="627"/>
        <item x="702"/>
        <item x="505"/>
        <item x="876"/>
        <item x="213"/>
        <item x="694"/>
        <item x="173"/>
        <item x="113"/>
        <item x="750"/>
        <item x="240"/>
        <item x="703"/>
        <item x="364"/>
        <item x="481"/>
        <item x="68"/>
        <item x="33"/>
        <item x="52"/>
        <item x="614"/>
        <item x="961"/>
        <item x="761"/>
        <item x="322"/>
        <item x="933"/>
        <item x="677"/>
        <item x="192"/>
        <item x="690"/>
        <item x="946"/>
        <item x="381"/>
        <item x="359"/>
        <item x="706"/>
        <item x="307"/>
        <item x="720"/>
        <item x="421"/>
        <item x="667"/>
        <item x="169"/>
        <item x="726"/>
        <item x="130"/>
        <item x="249"/>
        <item x="666"/>
        <item x="499"/>
        <item x="776"/>
        <item x="6"/>
        <item x="230"/>
        <item x="411"/>
        <item x="871"/>
        <item x="960"/>
        <item x="679"/>
        <item x="872"/>
        <item x="38"/>
        <item x="296"/>
        <item x="399"/>
        <item x="216"/>
        <item x="869"/>
        <item x="757"/>
        <item x="65"/>
        <item x="508"/>
        <item x="51"/>
        <item x="361"/>
        <item x="456"/>
        <item x="127"/>
        <item x="446"/>
        <item x="729"/>
        <item x="913"/>
        <item x="379"/>
        <item x="348"/>
        <item x="624"/>
        <item x="897"/>
        <item x="282"/>
        <item x="909"/>
        <item x="939"/>
        <item x="895"/>
        <item x="55"/>
        <item x="332"/>
        <item x="577"/>
        <item x="835"/>
        <item x="159"/>
        <item x="930"/>
        <item x="182"/>
        <item x="875"/>
        <item x="527"/>
        <item x="209"/>
        <item x="500"/>
        <item x="538"/>
        <item x="924"/>
        <item x="940"/>
        <item x="917"/>
        <item x="785"/>
        <item x="100"/>
        <item x="101"/>
        <item x="129"/>
        <item x="501"/>
        <item x="937"/>
        <item x="84"/>
        <item x="189"/>
        <item x="286"/>
        <item x="341"/>
        <item x="226"/>
        <item x="522"/>
        <item x="35"/>
        <item x="789"/>
        <item x="492"/>
        <item x="532"/>
        <item x="542"/>
        <item x="759"/>
        <item x="619"/>
        <item x="360"/>
        <item x="339"/>
        <item x="367"/>
        <item x="773"/>
        <item x="363"/>
        <item x="919"/>
        <item x="87"/>
        <item x="756"/>
        <item x="400"/>
        <item x="534"/>
        <item x="112"/>
        <item x="585"/>
        <item x="604"/>
        <item x="343"/>
        <item x="382"/>
        <item x="842"/>
        <item x="229"/>
        <item x="188"/>
        <item x="340"/>
        <item x="119"/>
        <item x="691"/>
        <item x="22"/>
        <item x="333"/>
        <item x="281"/>
        <item x="858"/>
        <item x="613"/>
        <item x="844"/>
        <item x="204"/>
        <item x="56"/>
        <item x="576"/>
        <item x="556"/>
        <item x="453"/>
        <item x="712"/>
        <item x="525"/>
        <item x="571"/>
        <item x="210"/>
        <item x="941"/>
        <item x="496"/>
        <item x="494"/>
        <item x="826"/>
        <item x="292"/>
        <item x="879"/>
        <item x="692"/>
        <item x="647"/>
        <item x="799"/>
        <item x="345"/>
        <item x="193"/>
        <item x="260"/>
        <item x="699"/>
        <item x="911"/>
        <item x="117"/>
        <item x="784"/>
        <item x="277"/>
        <item x="579"/>
        <item x="318"/>
        <item x="685"/>
        <item x="375"/>
        <item x="659"/>
        <item x="969"/>
        <item x="440"/>
        <item x="698"/>
        <item x="374"/>
        <item x="308"/>
        <item x="451"/>
        <item x="305"/>
        <item x="272"/>
        <item x="958"/>
        <item x="19"/>
        <item x="434"/>
        <item x="336"/>
        <item x="668"/>
        <item x="644"/>
        <item x="455"/>
        <item x="196"/>
        <item x="671"/>
        <item x="94"/>
        <item x="214"/>
        <item x="774"/>
        <item x="334"/>
        <item x="433"/>
        <item x="20"/>
        <item x="144"/>
        <item x="543"/>
        <item x="330"/>
        <item x="483"/>
        <item x="707"/>
        <item x="31"/>
        <item x="10"/>
        <item x="523"/>
        <item x="781"/>
        <item x="478"/>
        <item x="297"/>
        <item x="435"/>
        <item x="294"/>
        <item x="443"/>
        <item x="466"/>
        <item x="529"/>
        <item x="88"/>
        <item x="681"/>
        <item x="53"/>
        <item x="938"/>
        <item x="444"/>
        <item x="402"/>
        <item x="716"/>
        <item x="429"/>
        <item x="524"/>
        <item x="598"/>
        <item x="180"/>
        <item x="815"/>
        <item x="798"/>
        <item x="460"/>
        <item x="645"/>
        <item x="145"/>
        <item x="745"/>
        <item x="441"/>
        <item x="93"/>
        <item x="231"/>
        <item x="617"/>
        <item x="171"/>
        <item x="346"/>
        <item x="181"/>
        <item x="158"/>
        <item x="396"/>
        <item x="482"/>
        <item x="389"/>
        <item x="18"/>
        <item x="503"/>
        <item x="597"/>
        <item x="120"/>
        <item x="708"/>
        <item x="58"/>
        <item x="329"/>
        <item x="800"/>
        <item x="469"/>
        <item x="25"/>
        <item x="956"/>
        <item x="405"/>
        <item x="406"/>
        <item x="387"/>
        <item x="670"/>
        <item x="568"/>
        <item x="951"/>
        <item x="164"/>
        <item x="906"/>
        <item x="331"/>
        <item x="352"/>
        <item x="243"/>
        <item x="873"/>
        <item x="898"/>
        <item x="964"/>
        <item x="300"/>
        <item x="320"/>
        <item x="439"/>
        <item x="211"/>
        <item x="632"/>
        <item x="358"/>
        <item x="428"/>
        <item x="365"/>
        <item x="246"/>
        <item x="856"/>
        <item x="390"/>
        <item x="497"/>
        <item x="860"/>
        <item x="218"/>
        <item x="350"/>
        <item x="393"/>
        <item x="280"/>
        <item x="283"/>
        <item x="110"/>
        <item x="161"/>
        <item x="861"/>
        <item x="894"/>
        <item x="607"/>
        <item x="672"/>
        <item x="403"/>
        <item x="915"/>
        <item x="721"/>
        <item x="816"/>
        <item x="596"/>
        <item x="316"/>
        <item x="465"/>
        <item x="427"/>
        <item x="487"/>
        <item x="167"/>
        <item x="780"/>
        <item x="0"/>
        <item x="311"/>
        <item x="278"/>
        <item x="714"/>
        <item x="555"/>
        <item x="422"/>
        <item x="45"/>
        <item x="378"/>
        <item x="474"/>
        <item x="315"/>
        <item x="14"/>
        <item x="252"/>
        <item x="558"/>
        <item x="259"/>
        <item x="373"/>
        <item x="767"/>
        <item x="198"/>
        <item x="802"/>
        <item x="190"/>
        <item x="528"/>
        <item x="114"/>
        <item x="327"/>
        <item x="50"/>
        <item x="688"/>
        <item x="79"/>
        <item x="247"/>
        <item x="609"/>
        <item x="337"/>
        <item x="978"/>
        <item x="479"/>
        <item x="185"/>
        <item x="485"/>
        <item x="581"/>
        <item x="850"/>
        <item x="13"/>
        <item x="731"/>
        <item x="689"/>
        <item x="560"/>
        <item x="115"/>
        <item x="752"/>
        <item x="83"/>
        <item x="241"/>
        <item x="295"/>
        <item x="976"/>
        <item x="77"/>
        <item x="601"/>
        <item x="437"/>
        <item x="790"/>
        <item x="245"/>
        <item x="877"/>
        <item x="148"/>
        <item x="41"/>
        <item x="902"/>
        <item x="544"/>
        <item x="732"/>
        <item x="834"/>
        <item x="301"/>
        <item x="335"/>
        <item x="833"/>
        <item x="398"/>
        <item x="425"/>
        <item x="656"/>
        <item x="324"/>
        <item x="907"/>
        <item x="134"/>
        <item x="932"/>
        <item x="934"/>
        <item x="203"/>
        <item x="838"/>
        <item x="477"/>
        <item x="146"/>
        <item x="959"/>
        <item x="136"/>
        <item x="746"/>
        <item x="605"/>
        <item x="736"/>
        <item x="741"/>
        <item x="754"/>
        <item x="256"/>
        <item x="592"/>
        <item x="968"/>
        <item x="154"/>
        <item x="383"/>
        <item x="366"/>
        <item x="197"/>
        <item x="493"/>
        <item x="606"/>
        <item x="889"/>
        <item x="419"/>
        <item x="147"/>
        <item x="764"/>
        <item x="386"/>
        <item x="447"/>
        <item x="881"/>
        <item x="141"/>
        <item x="62"/>
        <item x="916"/>
        <item x="847"/>
        <item x="979"/>
        <item x="232"/>
        <item x="257"/>
        <item x="274"/>
        <item x="238"/>
        <item x="866"/>
        <item x="36"/>
        <item x="748"/>
        <item x="454"/>
        <item x="289"/>
        <item x="863"/>
        <item x="928"/>
        <item x="974"/>
        <item x="896"/>
        <item x="76"/>
        <item x="258"/>
        <item x="347"/>
        <item x="713"/>
        <item x="887"/>
        <item x="814"/>
        <item x="223"/>
        <item x="498"/>
        <item x="40"/>
        <item x="954"/>
        <item x="42"/>
        <item x="89"/>
        <item x="846"/>
        <item x="30"/>
        <item x="541"/>
        <item x="701"/>
        <item x="824"/>
        <item x="599"/>
        <item x="208"/>
        <item x="96"/>
        <item x="225"/>
        <item x="865"/>
        <item x="765"/>
        <item x="771"/>
        <item x="730"/>
        <item x="111"/>
        <item x="682"/>
        <item x="516"/>
        <item x="878"/>
        <item x="104"/>
        <item x="572"/>
        <item x="418"/>
        <item x="253"/>
        <item x="357"/>
        <item x="362"/>
        <item x="884"/>
        <item x="199"/>
        <item x="140"/>
        <item x="202"/>
        <item x="593"/>
        <item x="408"/>
        <item x="642"/>
        <item x="810"/>
        <item x="468"/>
        <item x="178"/>
        <item x="931"/>
        <item x="302"/>
        <item x="217"/>
        <item x="269"/>
        <item x="143"/>
        <item x="649"/>
        <item x="106"/>
        <item x="342"/>
        <item x="903"/>
        <item x="882"/>
        <item x="220"/>
        <item x="588"/>
        <item x="622"/>
        <item x="747"/>
        <item x="626"/>
        <item x="845"/>
        <item x="133"/>
        <item x="763"/>
        <item x="118"/>
        <item x="97"/>
        <item x="612"/>
        <item x="822"/>
        <item x="306"/>
        <item x="122"/>
        <item x="514"/>
        <item x="69"/>
        <item x="779"/>
        <item x="654"/>
        <item x="73"/>
        <item x="457"/>
        <item x="325"/>
        <item x="890"/>
        <item x="275"/>
        <item x="124"/>
        <item x="86"/>
        <item x="973"/>
        <item x="751"/>
        <item x="484"/>
        <item x="693"/>
        <item x="205"/>
        <item x="26"/>
        <item x="17"/>
        <item x="123"/>
        <item x="436"/>
        <item x="719"/>
        <item x="631"/>
        <item x="450"/>
        <item x="888"/>
        <item x="540"/>
        <item x="777"/>
        <item x="738"/>
        <item x="458"/>
        <item x="813"/>
        <item x="955"/>
        <item x="899"/>
        <item x="502"/>
        <item x="778"/>
        <item x="504"/>
        <item x="971"/>
        <item x="57"/>
        <item x="125"/>
        <item x="821"/>
        <item x="830"/>
        <item x="8"/>
        <item x="298"/>
        <item x="710"/>
        <item x="392"/>
        <item x="537"/>
        <item x="819"/>
        <item t="default"/>
      </items>
    </pivotField>
    <pivotField dataField="1" showAll="0">
      <items count="993">
        <item x="561"/>
        <item x="276"/>
        <item x="810"/>
        <item x="251"/>
        <item x="267"/>
        <item x="242"/>
        <item x="792"/>
        <item x="797"/>
        <item x="745"/>
        <item x="162"/>
        <item x="975"/>
        <item x="23"/>
        <item x="613"/>
        <item x="586"/>
        <item x="355"/>
        <item x="936"/>
        <item x="197"/>
        <item x="835"/>
        <item x="514"/>
        <item x="254"/>
        <item x="16"/>
        <item x="683"/>
        <item x="958"/>
        <item x="133"/>
        <item x="874"/>
        <item x="898"/>
        <item x="639"/>
        <item x="967"/>
        <item x="763"/>
        <item x="223"/>
        <item x="82"/>
        <item x="168"/>
        <item x="582"/>
        <item x="667"/>
        <item x="760"/>
        <item x="439"/>
        <item x="391"/>
        <item x="650"/>
        <item x="474"/>
        <item x="566"/>
        <item x="698"/>
        <item x="1"/>
        <item x="158"/>
        <item x="856"/>
        <item x="323"/>
        <item x="265"/>
        <item x="156"/>
        <item x="395"/>
        <item x="767"/>
        <item x="225"/>
        <item x="774"/>
        <item x="408"/>
        <item x="845"/>
        <item x="552"/>
        <item x="83"/>
        <item x="934"/>
        <item x="65"/>
        <item x="721"/>
        <item x="509"/>
        <item x="824"/>
        <item x="72"/>
        <item x="370"/>
        <item x="537"/>
        <item x="833"/>
        <item x="106"/>
        <item x="209"/>
        <item x="959"/>
        <item x="547"/>
        <item x="907"/>
        <item x="713"/>
        <item x="266"/>
        <item x="132"/>
        <item x="108"/>
        <item x="179"/>
        <item x="911"/>
        <item x="465"/>
        <item x="310"/>
        <item x="354"/>
        <item x="589"/>
        <item x="521"/>
        <item x="460"/>
        <item x="99"/>
        <item x="284"/>
        <item x="765"/>
        <item x="143"/>
        <item x="450"/>
        <item x="775"/>
        <item x="808"/>
        <item x="956"/>
        <item x="401"/>
        <item x="631"/>
        <item x="575"/>
        <item x="933"/>
        <item x="432"/>
        <item x="152"/>
        <item x="523"/>
        <item x="653"/>
        <item x="800"/>
        <item x="961"/>
        <item x="39"/>
        <item x="954"/>
        <item x="255"/>
        <item x="796"/>
        <item x="188"/>
        <item x="34"/>
        <item x="196"/>
        <item x="214"/>
        <item x="304"/>
        <item x="875"/>
        <item x="63"/>
        <item x="385"/>
        <item x="973"/>
        <item x="194"/>
        <item x="244"/>
        <item x="729"/>
        <item x="781"/>
        <item x="682"/>
        <item x="920"/>
        <item x="635"/>
        <item x="793"/>
        <item x="904"/>
        <item x="282"/>
        <item x="68"/>
        <item x="632"/>
        <item x="91"/>
        <item x="211"/>
        <item x="972"/>
        <item x="949"/>
        <item x="48"/>
        <item x="831"/>
        <item x="493"/>
        <item x="377"/>
        <item x="584"/>
        <item x="688"/>
        <item x="926"/>
        <item x="559"/>
        <item x="326"/>
        <item x="190"/>
        <item x="22"/>
        <item x="333"/>
        <item x="678"/>
        <item x="497"/>
        <item x="495"/>
        <item x="449"/>
        <item x="71"/>
        <item x="533"/>
        <item x="248"/>
        <item x="176"/>
        <item x="838"/>
        <item x="272"/>
        <item x="659"/>
        <item x="136"/>
        <item x="636"/>
        <item x="602"/>
        <item x="673"/>
        <item x="434"/>
        <item x="468"/>
        <item x="31"/>
        <item x="380"/>
        <item x="531"/>
        <item x="481"/>
        <item x="600"/>
        <item x="681"/>
        <item x="928"/>
        <item x="328"/>
        <item x="532"/>
        <item x="186"/>
        <item x="805"/>
        <item x="288"/>
        <item x="406"/>
        <item x="407"/>
        <item x="633"/>
        <item x="642"/>
        <item x="446"/>
        <item x="919"/>
        <item x="9"/>
        <item x="862"/>
        <item x="866"/>
        <item x="353"/>
        <item x="246"/>
        <item x="665"/>
        <item x="219"/>
        <item x="697"/>
        <item x="233"/>
        <item x="706"/>
        <item x="851"/>
        <item x="27"/>
        <item x="517"/>
        <item x="951"/>
        <item x="487"/>
        <item x="854"/>
        <item x="92"/>
        <item x="45"/>
        <item x="259"/>
        <item x="200"/>
        <item x="927"/>
        <item x="116"/>
        <item x="756"/>
        <item x="424"/>
        <item x="140"/>
        <item x="41"/>
        <item x="735"/>
        <item x="658"/>
        <item x="553"/>
        <item x="129"/>
        <item x="860"/>
        <item x="279"/>
        <item x="746"/>
        <item x="256"/>
        <item x="383"/>
        <item x="551"/>
        <item x="608"/>
        <item x="896"/>
        <item x="148"/>
        <item x="811"/>
        <item x="321"/>
        <item x="257"/>
        <item x="61"/>
        <item x="814"/>
        <item x="394"/>
        <item x="605"/>
        <item x="216"/>
        <item x="711"/>
        <item x="894"/>
        <item x="823"/>
        <item x="820"/>
        <item x="12"/>
        <item x="892"/>
        <item x="908"/>
        <item x="151"/>
        <item x="28"/>
        <item x="508"/>
        <item x="410"/>
        <item x="846"/>
        <item x="859"/>
        <item x="595"/>
        <item x="409"/>
        <item x="519"/>
        <item x="707"/>
        <item x="623"/>
        <item x="725"/>
        <item x="548"/>
        <item x="743"/>
        <item x="411"/>
        <item x="98"/>
        <item x="44"/>
        <item x="718"/>
        <item x="471"/>
        <item x="74"/>
        <item x="571"/>
        <item x="507"/>
        <item x="125"/>
        <item x="462"/>
        <item x="139"/>
        <item x="890"/>
        <item x="837"/>
        <item x="705"/>
        <item x="506"/>
        <item x="392"/>
        <item x="692"/>
        <item x="676"/>
        <item x="737"/>
        <item x="73"/>
        <item x="131"/>
        <item x="597"/>
        <item x="738"/>
        <item x="104"/>
        <item x="96"/>
        <item x="655"/>
        <item x="604"/>
        <item x="753"/>
        <item x="217"/>
        <item x="522"/>
        <item x="66"/>
        <item x="457"/>
        <item x="662"/>
        <item x="100"/>
        <item x="627"/>
        <item x="989"/>
        <item x="109"/>
        <item x="841"/>
        <item x="529"/>
        <item x="569"/>
        <item x="664"/>
        <item x="103"/>
        <item x="75"/>
        <item x="341"/>
        <item x="944"/>
        <item x="764"/>
        <item x="367"/>
        <item x="54"/>
        <item x="536"/>
        <item x="520"/>
        <item x="689"/>
        <item x="660"/>
        <item x="578"/>
        <item x="290"/>
        <item x="235"/>
        <item x="319"/>
        <item x="666"/>
        <item x="239"/>
        <item x="637"/>
        <item x="262"/>
        <item x="591"/>
        <item x="758"/>
        <item x="618"/>
        <item x="222"/>
        <item x="869"/>
        <item x="181"/>
        <item x="153"/>
        <item x="730"/>
        <item x="405"/>
        <item x="110"/>
        <item x="654"/>
        <item x="415"/>
        <item x="491"/>
        <item x="456"/>
        <item x="198"/>
        <item x="565"/>
        <item x="626"/>
        <item x="47"/>
        <item x="801"/>
        <item x="675"/>
        <item x="788"/>
        <item x="881"/>
        <item x="576"/>
        <item x="749"/>
        <item x="596"/>
        <item x="94"/>
        <item x="231"/>
        <item x="11"/>
        <item x="464"/>
        <item x="93"/>
        <item x="731"/>
        <item x="329"/>
        <item x="470"/>
        <item x="979"/>
        <item x="913"/>
        <item x="984"/>
        <item x="568"/>
        <item x="285"/>
        <item x="4"/>
        <item x="122"/>
        <item x="588"/>
        <item x="368"/>
        <item x="617"/>
        <item x="431"/>
        <item x="809"/>
        <item x="313"/>
        <item x="418"/>
        <item x="679"/>
        <item x="24"/>
        <item x="777"/>
        <item x="955"/>
        <item x="283"/>
        <item x="868"/>
        <item x="554"/>
        <item x="249"/>
        <item x="384"/>
        <item x="744"/>
        <item x="978"/>
        <item x="314"/>
        <item x="787"/>
        <item x="953"/>
        <item x="931"/>
        <item x="115"/>
        <item x="170"/>
        <item x="443"/>
        <item x="178"/>
        <item x="640"/>
        <item x="425"/>
        <item x="312"/>
        <item x="657"/>
        <item x="603"/>
        <item x="727"/>
        <item x="977"/>
        <item x="263"/>
        <item x="925"/>
        <item x="943"/>
        <item x="388"/>
        <item x="264"/>
        <item x="541"/>
        <item x="174"/>
        <item x="750"/>
        <item x="130"/>
        <item x="946"/>
        <item x="85"/>
        <item x="167"/>
        <item x="286"/>
        <item x="638"/>
        <item x="794"/>
        <item x="117"/>
        <item x="680"/>
        <item x="871"/>
        <item x="363"/>
        <item x="757"/>
        <item x="761"/>
        <item x="564"/>
        <item x="587"/>
        <item x="873"/>
        <item x="36"/>
        <item x="382"/>
        <item x="67"/>
        <item x="748"/>
        <item x="843"/>
        <item x="937"/>
        <item x="535"/>
        <item x="641"/>
        <item x="616"/>
        <item x="747"/>
        <item x="921"/>
        <item x="356"/>
        <item x="686"/>
        <item x="210"/>
        <item x="250"/>
        <item x="76"/>
        <item x="628"/>
        <item x="492"/>
        <item x="303"/>
        <item x="733"/>
        <item x="253"/>
        <item x="974"/>
        <item x="962"/>
        <item x="141"/>
        <item x="195"/>
        <item x="469"/>
        <item x="180"/>
        <item x="842"/>
        <item x="427"/>
        <item x="271"/>
        <item x="221"/>
        <item x="220"/>
        <item x="671"/>
        <item x="751"/>
        <item x="850"/>
        <item x="119"/>
        <item x="848"/>
        <item x="202"/>
        <item x="828"/>
        <item x="123"/>
        <item x="877"/>
        <item x="755"/>
        <item x="207"/>
        <item x="883"/>
        <item x="722"/>
        <item x="165"/>
        <item x="567"/>
        <item x="371"/>
        <item x="782"/>
        <item x="742"/>
        <item x="965"/>
        <item x="364"/>
        <item x="52"/>
        <item x="779"/>
        <item x="726"/>
        <item x="473"/>
        <item x="298"/>
        <item x="619"/>
        <item x="528"/>
        <item x="621"/>
        <item x="812"/>
        <item x="663"/>
        <item x="479"/>
        <item x="555"/>
        <item x="511"/>
        <item x="855"/>
        <item x="294"/>
        <item x="512"/>
        <item x="947"/>
        <item x="668"/>
        <item x="500"/>
        <item x="430"/>
        <item x="526"/>
        <item x="957"/>
        <item x="461"/>
        <item x="185"/>
        <item x="146"/>
        <item x="620"/>
        <item x="818"/>
        <item x="736"/>
        <item x="577"/>
        <item x="203"/>
        <item x="166"/>
        <item x="720"/>
        <item x="261"/>
        <item x="3"/>
        <item x="939"/>
        <item x="273"/>
        <item x="159"/>
        <item x="540"/>
        <item x="863"/>
        <item x="932"/>
        <item x="938"/>
        <item x="982"/>
        <item x="592"/>
        <item x="213"/>
        <item x="208"/>
        <item x="237"/>
        <item x="472"/>
        <item x="503"/>
        <item x="917"/>
        <item x="163"/>
        <item x="550"/>
        <item x="15"/>
        <item x="952"/>
        <item x="560"/>
        <item x="369"/>
        <item x="772"/>
        <item x="229"/>
        <item x="815"/>
        <item x="351"/>
        <item x="120"/>
        <item x="193"/>
        <item x="580"/>
        <item x="50"/>
        <item x="80"/>
        <item x="612"/>
        <item x="912"/>
        <item x="5"/>
        <item x="480"/>
        <item x="583"/>
        <item x="734"/>
        <item x="562"/>
        <item x="714"/>
        <item x="295"/>
        <item x="309"/>
        <item x="438"/>
        <item x="453"/>
        <item x="893"/>
        <item x="909"/>
        <item x="301"/>
        <item x="32"/>
        <item x="324"/>
        <item x="861"/>
        <item x="844"/>
        <item x="496"/>
        <item x="887"/>
        <item x="60"/>
        <item x="37"/>
        <item x="799"/>
        <item x="773"/>
        <item x="915"/>
        <item x="29"/>
        <item x="296"/>
        <item x="305"/>
        <item x="741"/>
        <item x="510"/>
        <item x="513"/>
        <item x="361"/>
        <item x="752"/>
        <item x="455"/>
        <item x="732"/>
        <item x="870"/>
        <item x="330"/>
        <item x="127"/>
        <item x="299"/>
        <item x="436"/>
        <item x="89"/>
        <item x="490"/>
        <item x="21"/>
        <item x="349"/>
        <item x="226"/>
        <item x="549"/>
        <item x="184"/>
        <item x="776"/>
        <item x="646"/>
        <item x="685"/>
        <item x="49"/>
        <item x="611"/>
        <item x="924"/>
        <item x="483"/>
        <item x="599"/>
        <item x="614"/>
        <item x="900"/>
        <item x="966"/>
        <item x="813"/>
        <item x="154"/>
        <item x="387"/>
        <item x="768"/>
        <item x="960"/>
        <item x="372"/>
        <item x="622"/>
        <item x="858"/>
        <item x="339"/>
        <item x="306"/>
        <item x="43"/>
        <item x="656"/>
        <item x="644"/>
        <item x="287"/>
        <item x="26"/>
        <item x="400"/>
        <item x="826"/>
        <item x="440"/>
        <item x="376"/>
        <item x="317"/>
        <item x="2"/>
        <item x="945"/>
        <item x="504"/>
        <item x="864"/>
        <item x="86"/>
        <item x="81"/>
        <item x="381"/>
        <item x="454"/>
        <item x="307"/>
        <item x="728"/>
        <item x="648"/>
        <item x="901"/>
        <item x="802"/>
        <item x="950"/>
        <item x="515"/>
        <item x="624"/>
        <item x="878"/>
        <item x="593"/>
        <item x="964"/>
        <item x="277"/>
        <item x="51"/>
        <item x="690"/>
        <item x="585"/>
        <item x="247"/>
        <item x="661"/>
        <item x="780"/>
        <item x="236"/>
        <item x="348"/>
        <item x="538"/>
        <item x="476"/>
        <item x="463"/>
        <item x="55"/>
        <item x="579"/>
        <item x="829"/>
        <item x="79"/>
        <item x="435"/>
        <item x="161"/>
        <item x="421"/>
        <item x="413"/>
        <item x="215"/>
        <item x="834"/>
        <item x="398"/>
        <item x="699"/>
        <item x="426"/>
        <item x="798"/>
        <item x="135"/>
        <item x="709"/>
        <item x="433"/>
        <item x="138"/>
        <item x="172"/>
        <item x="630"/>
        <item x="228"/>
        <item x="155"/>
        <item x="445"/>
        <item x="524"/>
        <item x="268"/>
        <item x="150"/>
        <item x="652"/>
        <item x="240"/>
        <item x="544"/>
        <item x="322"/>
        <item x="344"/>
        <item x="806"/>
        <item x="183"/>
        <item x="396"/>
        <item x="389"/>
        <item x="572"/>
        <item x="771"/>
        <item x="693"/>
        <item x="723"/>
        <item x="986"/>
        <item x="422"/>
        <item x="669"/>
        <item x="171"/>
        <item x="397"/>
        <item x="281"/>
        <item x="791"/>
        <item x="270"/>
        <item x="291"/>
        <item x="46"/>
        <item x="230"/>
        <item x="56"/>
        <item x="399"/>
        <item x="59"/>
        <item x="177"/>
        <item x="976"/>
        <item x="97"/>
        <item x="832"/>
        <item x="447"/>
        <item x="379"/>
        <item x="804"/>
        <item x="189"/>
        <item x="987"/>
        <item x="489"/>
        <item x="940"/>
        <item x="867"/>
        <item x="269"/>
        <item x="7"/>
        <item x="563"/>
        <item x="651"/>
        <item x="902"/>
        <item x="687"/>
        <item x="889"/>
        <item x="477"/>
        <item x="417"/>
        <item x="134"/>
        <item x="615"/>
        <item x="516"/>
        <item x="70"/>
        <item x="784"/>
        <item x="704"/>
        <item x="311"/>
        <item x="278"/>
        <item x="275"/>
        <item x="985"/>
        <item x="485"/>
        <item x="124"/>
        <item x="14"/>
        <item x="114"/>
        <item x="790"/>
        <item x="819"/>
        <item x="906"/>
        <item x="192"/>
        <item x="930"/>
        <item x="33"/>
        <item x="327"/>
        <item x="8"/>
        <item x="64"/>
        <item x="942"/>
        <item x="484"/>
        <item x="825"/>
        <item x="534"/>
        <item x="359"/>
        <item x="78"/>
        <item x="88"/>
        <item x="293"/>
        <item x="795"/>
        <item x="245"/>
        <item x="182"/>
        <item x="416"/>
        <item x="821"/>
        <item x="38"/>
        <item x="803"/>
        <item x="338"/>
        <item x="442"/>
        <item x="941"/>
        <item x="876"/>
        <item x="865"/>
        <item x="205"/>
        <item x="234"/>
        <item x="849"/>
        <item x="128"/>
        <item x="677"/>
        <item x="121"/>
        <item x="980"/>
        <item x="164"/>
        <item x="556"/>
        <item x="672"/>
        <item x="570"/>
        <item x="769"/>
        <item x="292"/>
        <item x="916"/>
        <item x="888"/>
        <item x="243"/>
        <item x="853"/>
        <item x="414"/>
        <item x="701"/>
        <item x="696"/>
        <item x="289"/>
        <item x="702"/>
        <item x="318"/>
        <item x="358"/>
        <item x="429"/>
        <item x="482"/>
        <item x="69"/>
        <item x="899"/>
        <item x="347"/>
        <item x="102"/>
        <item x="502"/>
        <item x="40"/>
        <item x="350"/>
        <item x="817"/>
        <item x="111"/>
        <item x="227"/>
        <item x="830"/>
        <item x="601"/>
        <item x="35"/>
        <item x="19"/>
        <item x="316"/>
        <item x="428"/>
        <item x="770"/>
        <item x="6"/>
        <item x="95"/>
        <item x="412"/>
        <item x="739"/>
        <item x="545"/>
        <item x="201"/>
        <item x="423"/>
        <item x="10"/>
        <item x="762"/>
        <item x="847"/>
        <item x="297"/>
        <item x="530"/>
        <item x="684"/>
        <item x="403"/>
        <item x="857"/>
        <item x="206"/>
        <item x="558"/>
        <item x="948"/>
        <item x="175"/>
        <item x="332"/>
        <item x="754"/>
        <item x="884"/>
        <item x="935"/>
        <item x="649"/>
        <item x="57"/>
        <item x="840"/>
        <item x="58"/>
        <item x="335"/>
        <item x="766"/>
        <item x="882"/>
        <item x="25"/>
        <item x="260"/>
        <item x="501"/>
        <item x="789"/>
        <item x="914"/>
        <item x="581"/>
        <item x="969"/>
        <item x="137"/>
        <item x="375"/>
        <item x="607"/>
        <item x="708"/>
        <item x="880"/>
        <item x="759"/>
        <item x="981"/>
        <item x="191"/>
        <item x="441"/>
        <item x="366"/>
        <item x="970"/>
        <item x="879"/>
        <item x="374"/>
        <item x="308"/>
        <item x="452"/>
        <item x="923"/>
        <item x="778"/>
        <item x="498"/>
        <item x="670"/>
        <item x="274"/>
        <item x="238"/>
        <item x="145"/>
        <item x="258"/>
        <item x="610"/>
        <item x="674"/>
        <item x="466"/>
        <item x="499"/>
        <item x="444"/>
        <item x="467"/>
        <item x="378"/>
        <item x="315"/>
        <item x="527"/>
        <item x="694"/>
        <item x="574"/>
        <item x="929"/>
        <item x="362"/>
        <item x="187"/>
        <item x="346"/>
        <item x="918"/>
        <item x="160"/>
        <item x="101"/>
        <item x="691"/>
        <item x="144"/>
        <item x="629"/>
        <item x="360"/>
        <item x="331"/>
        <item x="839"/>
        <item x="897"/>
        <item x="87"/>
        <item x="113"/>
        <item x="606"/>
        <item x="300"/>
        <item x="343"/>
        <item x="478"/>
        <item x="895"/>
        <item x="147"/>
        <item x="340"/>
        <item x="645"/>
        <item x="712"/>
        <item x="199"/>
        <item x="420"/>
        <item x="525"/>
        <item x="786"/>
        <item x="573"/>
        <item x="212"/>
        <item x="53"/>
        <item x="598"/>
        <item x="488"/>
        <item x="169"/>
        <item x="886"/>
        <item x="557"/>
        <item x="903"/>
        <item x="345"/>
        <item x="475"/>
        <item x="118"/>
        <item x="252"/>
        <item x="717"/>
        <item x="18"/>
        <item x="543"/>
        <item x="13"/>
        <item x="700"/>
        <item x="112"/>
        <item x="885"/>
        <item x="609"/>
        <item x="968"/>
        <item x="336"/>
        <item x="320"/>
        <item x="334"/>
        <item x="20"/>
        <item x="365"/>
        <item x="325"/>
        <item x="594"/>
        <item x="157"/>
        <item x="402"/>
        <item x="719"/>
        <item x="451"/>
        <item x="971"/>
        <item x="404"/>
        <item x="922"/>
        <item x="386"/>
        <item x="783"/>
        <item x="983"/>
        <item x="448"/>
        <item x="785"/>
        <item x="991"/>
        <item x="716"/>
        <item x="173"/>
        <item x="539"/>
        <item x="373"/>
        <item x="505"/>
        <item x="710"/>
        <item x="337"/>
        <item x="715"/>
        <item x="224"/>
        <item x="352"/>
        <item x="42"/>
        <item x="90"/>
        <item x="905"/>
        <item x="84"/>
        <item x="703"/>
        <item x="149"/>
        <item x="105"/>
        <item x="546"/>
        <item x="891"/>
        <item x="390"/>
        <item x="643"/>
        <item x="816"/>
        <item x="218"/>
        <item x="647"/>
        <item x="393"/>
        <item x="280"/>
        <item x="740"/>
        <item x="724"/>
        <item x="822"/>
        <item x="494"/>
        <item x="0"/>
        <item x="437"/>
        <item x="142"/>
        <item x="634"/>
        <item x="232"/>
        <item x="459"/>
        <item x="807"/>
        <item x="126"/>
        <item x="990"/>
        <item x="77"/>
        <item x="486"/>
        <item x="241"/>
        <item x="988"/>
        <item x="963"/>
        <item x="30"/>
        <item x="357"/>
        <item x="204"/>
        <item x="302"/>
        <item x="107"/>
        <item x="910"/>
        <item x="62"/>
        <item x="458"/>
        <item x="17"/>
        <item x="542"/>
        <item x="827"/>
        <item x="836"/>
        <item x="852"/>
        <item x="872"/>
        <item x="518"/>
        <item x="419"/>
        <item x="342"/>
        <item x="590"/>
        <item x="625"/>
        <item x="695"/>
        <item t="default"/>
      </items>
    </pivotField>
  </pivotFields>
  <rowFields count="1">
    <field x="2"/>
  </rowFields>
  <rowItems count="6">
    <i>
      <x/>
    </i>
    <i>
      <x v="1"/>
    </i>
    <i>
      <x v="2"/>
    </i>
    <i>
      <x v="3"/>
    </i>
    <i>
      <x v="4"/>
    </i>
    <i t="grand">
      <x/>
    </i>
  </rowItems>
  <colFields count="1">
    <field x="1"/>
  </colFields>
  <colItems count="5">
    <i>
      <x/>
    </i>
    <i>
      <x v="1"/>
    </i>
    <i>
      <x v="2"/>
    </i>
    <i>
      <x v="3"/>
    </i>
    <i t="grand">
      <x/>
    </i>
  </colItems>
  <dataFields count="1">
    <dataField name="Sum of Sales" fld="6" showDataAs="percentOfTotal" baseField="0"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34AE1C-528E-4BAA-8CAE-3DE335CD454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3:F90" firstHeaderRow="1" firstDataRow="2" firstDataCol="1"/>
  <pivotFields count="7">
    <pivotField axis="axisRow" showAll="0">
      <items count="6">
        <item x="1"/>
        <item x="3"/>
        <item x="2"/>
        <item x="0"/>
        <item x="4"/>
        <item t="default"/>
      </items>
    </pivotField>
    <pivotField axis="axisCol" showAll="0">
      <items count="5">
        <item x="2"/>
        <item x="0"/>
        <item x="1"/>
        <item x="3"/>
        <item t="default"/>
      </items>
    </pivotField>
    <pivotField showAll="0">
      <items count="6">
        <item x="3"/>
        <item x="1"/>
        <item x="0"/>
        <item x="4"/>
        <item x="2"/>
        <item t="default"/>
      </items>
    </pivotField>
    <pivotField showAll="0">
      <items count="7">
        <item x="2"/>
        <item x="0"/>
        <item x="4"/>
        <item x="5"/>
        <item x="3"/>
        <item x="1"/>
        <item t="default"/>
      </items>
    </pivotField>
    <pivotField showAll="0"/>
    <pivotField dataField="1" showAll="0">
      <items count="981">
        <item x="927"/>
        <item x="473"/>
        <item x="23"/>
        <item x="82"/>
        <item x="559"/>
        <item x="610"/>
        <item x="391"/>
        <item x="242"/>
        <item x="105"/>
        <item x="276"/>
        <item x="805"/>
        <item x="438"/>
        <item x="207"/>
        <item x="521"/>
        <item x="160"/>
        <item x="251"/>
        <item x="949"/>
        <item x="267"/>
        <item x="535"/>
        <item x="755"/>
        <item x="355"/>
        <item x="868"/>
        <item x="63"/>
        <item x="385"/>
        <item x="829"/>
        <item x="354"/>
        <item x="827"/>
        <item x="770"/>
        <item x="70"/>
        <item x="900"/>
        <item x="224"/>
        <item x="531"/>
        <item x="377"/>
        <item x="248"/>
        <item x="16"/>
        <item x="676"/>
        <item x="174"/>
        <item x="696"/>
        <item x="657"/>
        <item x="957"/>
        <item x="762"/>
        <item x="266"/>
        <item x="841"/>
        <item x="787"/>
        <item x="718"/>
        <item x="806"/>
        <item x="817"/>
        <item x="641"/>
        <item x="151"/>
        <item x="629"/>
        <item x="840"/>
        <item x="825"/>
        <item x="792"/>
        <item x="740"/>
        <item x="1"/>
        <item x="557"/>
        <item x="883"/>
        <item x="304"/>
        <item x="107"/>
        <item x="920"/>
        <item x="901"/>
        <item x="72"/>
        <item x="423"/>
        <item x="519"/>
        <item x="132"/>
        <item x="98"/>
        <item x="551"/>
        <item x="722"/>
        <item x="867"/>
        <item x="947"/>
        <item x="638"/>
        <item x="926"/>
        <item x="885"/>
        <item x="64"/>
        <item x="28"/>
        <item x="520"/>
        <item x="852"/>
        <item x="963"/>
        <item x="517"/>
        <item x="945"/>
        <item x="660"/>
        <item x="222"/>
        <item x="658"/>
        <item x="108"/>
        <item x="445"/>
        <item x="138"/>
        <item x="549"/>
        <item x="448"/>
        <item x="9"/>
        <item x="166"/>
        <item x="545"/>
        <item x="749"/>
        <item x="467"/>
        <item x="290"/>
        <item x="380"/>
        <item x="319"/>
        <item x="636"/>
        <item x="684"/>
        <item x="67"/>
        <item x="615"/>
        <item x="530"/>
        <item x="288"/>
        <item x="803"/>
        <item x="972"/>
        <item x="490"/>
        <item x="912"/>
        <item x="95"/>
        <item x="326"/>
        <item x="602"/>
        <item x="368"/>
        <item x="156"/>
        <item x="855"/>
        <item x="313"/>
        <item x="99"/>
        <item x="409"/>
        <item x="952"/>
        <item x="92"/>
        <item x="791"/>
        <item x="620"/>
        <item x="410"/>
        <item x="312"/>
        <item x="743"/>
        <item x="584"/>
        <item x="139"/>
        <item x="831"/>
        <item x="417"/>
        <item x="244"/>
        <item x="518"/>
        <item x="172"/>
        <item x="279"/>
        <item x="687"/>
        <item x="734"/>
        <item x="195"/>
        <item x="507"/>
        <item x="574"/>
        <item x="818"/>
        <item x="262"/>
        <item x="370"/>
        <item x="837"/>
        <item x="512"/>
        <item x="12"/>
        <item x="254"/>
        <item x="950"/>
        <item x="353"/>
        <item x="48"/>
        <item x="414"/>
        <item x="102"/>
        <item x="663"/>
        <item x="563"/>
        <item x="695"/>
        <item x="582"/>
        <item x="686"/>
        <item x="384"/>
        <item x="569"/>
        <item x="486"/>
        <item x="874"/>
        <item x="634"/>
        <item x="314"/>
        <item x="680"/>
        <item x="176"/>
        <item x="472"/>
        <item x="356"/>
        <item x="424"/>
        <item x="904"/>
        <item x="967"/>
        <item x="595"/>
        <item x="285"/>
        <item x="426"/>
        <item x="586"/>
        <item x="812"/>
        <item x="219"/>
        <item x="430"/>
        <item x="727"/>
        <item x="804"/>
        <item x="575"/>
        <item x="401"/>
        <item x="891"/>
        <item x="321"/>
        <item x="135"/>
        <item x="635"/>
        <item x="623"/>
        <item x="394"/>
        <item x="603"/>
        <item x="640"/>
        <item x="431"/>
        <item x="848"/>
        <item x="923"/>
        <item x="206"/>
        <item x="758"/>
        <item x="480"/>
        <item x="506"/>
        <item x="655"/>
        <item x="921"/>
        <item x="724"/>
        <item x="54"/>
        <item x="953"/>
        <item x="705"/>
        <item x="965"/>
        <item x="186"/>
        <item x="227"/>
        <item x="918"/>
        <item x="715"/>
        <item x="165"/>
        <item x="81"/>
        <item x="565"/>
        <item x="121"/>
        <item x="239"/>
        <item x="273"/>
        <item x="886"/>
        <item x="723"/>
        <item x="589"/>
        <item x="580"/>
        <item x="772"/>
        <item x="66"/>
        <item x="237"/>
        <item x="744"/>
        <item x="665"/>
        <item x="233"/>
        <item x="733"/>
        <item x="548"/>
        <item x="533"/>
        <item x="37"/>
        <item x="653"/>
        <item x="948"/>
        <item x="404"/>
        <item x="652"/>
        <item x="75"/>
        <item x="633"/>
        <item x="788"/>
        <item x="977"/>
        <item x="648"/>
        <item x="299"/>
        <item x="717"/>
        <item x="309"/>
        <item x="90"/>
        <item x="567"/>
        <item x="128"/>
        <item x="163"/>
        <item x="371"/>
        <item x="970"/>
        <item x="495"/>
        <item x="880"/>
        <item x="728"/>
        <item x="74"/>
        <item x="637"/>
        <item x="910"/>
        <item x="564"/>
        <item x="864"/>
        <item x="753"/>
        <item x="510"/>
        <item x="511"/>
        <item x="4"/>
        <item x="820"/>
        <item x="369"/>
        <item x="317"/>
        <item x="2"/>
        <item x="936"/>
        <item x="849"/>
        <item x="24"/>
        <item x="323"/>
        <item x="742"/>
        <item x="80"/>
        <item x="265"/>
        <item x="155"/>
        <item x="646"/>
        <item x="235"/>
        <item x="683"/>
        <item x="552"/>
        <item x="201"/>
        <item x="491"/>
        <item x="395"/>
        <item x="962"/>
        <item x="966"/>
        <item x="854"/>
        <item x="782"/>
        <item x="221"/>
        <item x="546"/>
        <item x="179"/>
        <item x="739"/>
        <item x="769"/>
        <item x="775"/>
        <item x="152"/>
        <item x="843"/>
        <item x="929"/>
        <item x="44"/>
        <item x="407"/>
        <item x="470"/>
        <item x="908"/>
        <item x="839"/>
        <item x="29"/>
        <item x="639"/>
        <item x="461"/>
        <item x="109"/>
        <item x="832"/>
        <item x="550"/>
        <item x="462"/>
        <item x="600"/>
        <item x="616"/>
        <item x="793"/>
        <item x="674"/>
        <item x="264"/>
        <item x="137"/>
        <item x="809"/>
        <item x="351"/>
        <item x="796"/>
        <item x="553"/>
        <item x="509"/>
        <item x="797"/>
        <item x="228"/>
        <item x="513"/>
        <item x="621"/>
        <item x="268"/>
        <item x="103"/>
        <item x="591"/>
        <item x="678"/>
        <item x="608"/>
        <item x="452"/>
        <item x="11"/>
        <item x="328"/>
        <item x="463"/>
        <item x="71"/>
        <item x="184"/>
        <item x="766"/>
        <item x="611"/>
        <item x="397"/>
        <item x="475"/>
        <item x="630"/>
        <item x="851"/>
        <item x="43"/>
        <item x="914"/>
        <item x="643"/>
        <item x="261"/>
        <item x="566"/>
        <item x="60"/>
        <item x="175"/>
        <item x="768"/>
        <item x="412"/>
        <item x="625"/>
        <item x="3"/>
        <item x="376"/>
        <item x="303"/>
        <item x="697"/>
        <item x="157"/>
        <item x="859"/>
        <item x="857"/>
        <item x="662"/>
        <item x="590"/>
        <item x="85"/>
        <item x="836"/>
        <item x="561"/>
        <item x="725"/>
        <item x="711"/>
        <item x="704"/>
        <item x="935"/>
        <item x="149"/>
        <item x="650"/>
        <item x="27"/>
        <item x="200"/>
        <item x="515"/>
        <item x="942"/>
        <item x="91"/>
        <item x="489"/>
        <item x="15"/>
        <item x="21"/>
        <item x="131"/>
        <item x="570"/>
        <item x="547"/>
        <item x="944"/>
        <item x="191"/>
        <item x="177"/>
        <item x="168"/>
        <item x="583"/>
        <item x="49"/>
        <item x="46"/>
        <item x="905"/>
        <item x="442"/>
        <item x="536"/>
        <item x="526"/>
        <item x="618"/>
        <item x="661"/>
        <item x="664"/>
        <item x="464"/>
        <item x="893"/>
        <item x="807"/>
        <item x="310"/>
        <item x="372"/>
        <item x="420"/>
        <item x="587"/>
        <item x="459"/>
        <item x="187"/>
        <item x="32"/>
        <item x="263"/>
        <item x="338"/>
        <item x="183"/>
        <item x="284"/>
        <item x="388"/>
        <item x="760"/>
        <item x="853"/>
        <item x="432"/>
        <item x="142"/>
        <item x="539"/>
        <item x="862"/>
        <item x="476"/>
        <item x="675"/>
        <item x="416"/>
        <item x="449"/>
        <item x="794"/>
        <item x="162"/>
        <item x="554"/>
        <item x="116"/>
        <item x="413"/>
        <item x="562"/>
        <item x="737"/>
        <item x="344"/>
        <item x="628"/>
        <item x="61"/>
        <item x="801"/>
        <item x="922"/>
        <item x="700"/>
        <item x="808"/>
        <item x="215"/>
        <item x="892"/>
        <item x="573"/>
        <item x="126"/>
        <item x="786"/>
        <item x="925"/>
        <item x="270"/>
        <item x="709"/>
        <item x="291"/>
        <item x="47"/>
        <item x="673"/>
        <item x="783"/>
        <item x="212"/>
        <item x="293"/>
        <item x="811"/>
        <item x="150"/>
        <item x="59"/>
        <item x="471"/>
        <item x="236"/>
        <item x="651"/>
        <item x="349"/>
        <item x="250"/>
        <item x="415"/>
        <item x="594"/>
        <item x="795"/>
        <item x="735"/>
        <item x="975"/>
        <item x="488"/>
        <item x="234"/>
        <item x="823"/>
        <item x="943"/>
        <item x="78"/>
        <item x="39"/>
        <item x="255"/>
        <item x="7"/>
        <item x="828"/>
        <item x="271"/>
        <item x="578"/>
        <item x="669"/>
        <item x="153"/>
        <item x="34"/>
        <item x="5"/>
        <item x="194"/>
        <item x="170"/>
        <item x="870"/>
        <item x="287"/>
        <item x="627"/>
        <item x="702"/>
        <item x="505"/>
        <item x="876"/>
        <item x="213"/>
        <item x="694"/>
        <item x="173"/>
        <item x="113"/>
        <item x="750"/>
        <item x="240"/>
        <item x="703"/>
        <item x="364"/>
        <item x="481"/>
        <item x="68"/>
        <item x="33"/>
        <item x="52"/>
        <item x="614"/>
        <item x="961"/>
        <item x="761"/>
        <item x="322"/>
        <item x="933"/>
        <item x="677"/>
        <item x="192"/>
        <item x="690"/>
        <item x="946"/>
        <item x="381"/>
        <item x="359"/>
        <item x="706"/>
        <item x="307"/>
        <item x="720"/>
        <item x="421"/>
        <item x="667"/>
        <item x="169"/>
        <item x="726"/>
        <item x="130"/>
        <item x="249"/>
        <item x="666"/>
        <item x="499"/>
        <item x="776"/>
        <item x="6"/>
        <item x="230"/>
        <item x="411"/>
        <item x="871"/>
        <item x="960"/>
        <item x="679"/>
        <item x="872"/>
        <item x="38"/>
        <item x="296"/>
        <item x="399"/>
        <item x="216"/>
        <item x="869"/>
        <item x="757"/>
        <item x="65"/>
        <item x="508"/>
        <item x="51"/>
        <item x="361"/>
        <item x="456"/>
        <item x="127"/>
        <item x="446"/>
        <item x="729"/>
        <item x="913"/>
        <item x="379"/>
        <item x="348"/>
        <item x="624"/>
        <item x="897"/>
        <item x="282"/>
        <item x="909"/>
        <item x="939"/>
        <item x="895"/>
        <item x="55"/>
        <item x="332"/>
        <item x="577"/>
        <item x="835"/>
        <item x="159"/>
        <item x="930"/>
        <item x="182"/>
        <item x="875"/>
        <item x="527"/>
        <item x="209"/>
        <item x="500"/>
        <item x="538"/>
        <item x="924"/>
        <item x="940"/>
        <item x="917"/>
        <item x="785"/>
        <item x="100"/>
        <item x="101"/>
        <item x="129"/>
        <item x="501"/>
        <item x="937"/>
        <item x="84"/>
        <item x="189"/>
        <item x="286"/>
        <item x="341"/>
        <item x="226"/>
        <item x="522"/>
        <item x="35"/>
        <item x="789"/>
        <item x="492"/>
        <item x="532"/>
        <item x="542"/>
        <item x="759"/>
        <item x="619"/>
        <item x="360"/>
        <item x="339"/>
        <item x="367"/>
        <item x="773"/>
        <item x="363"/>
        <item x="919"/>
        <item x="87"/>
        <item x="756"/>
        <item x="400"/>
        <item x="534"/>
        <item x="112"/>
        <item x="585"/>
        <item x="604"/>
        <item x="343"/>
        <item x="382"/>
        <item x="842"/>
        <item x="229"/>
        <item x="188"/>
        <item x="340"/>
        <item x="119"/>
        <item x="691"/>
        <item x="22"/>
        <item x="333"/>
        <item x="281"/>
        <item x="858"/>
        <item x="613"/>
        <item x="844"/>
        <item x="204"/>
        <item x="56"/>
        <item x="576"/>
        <item x="556"/>
        <item x="453"/>
        <item x="712"/>
        <item x="525"/>
        <item x="571"/>
        <item x="210"/>
        <item x="941"/>
        <item x="496"/>
        <item x="494"/>
        <item x="826"/>
        <item x="292"/>
        <item x="879"/>
        <item x="692"/>
        <item x="647"/>
        <item x="799"/>
        <item x="345"/>
        <item x="193"/>
        <item x="260"/>
        <item x="699"/>
        <item x="911"/>
        <item x="117"/>
        <item x="784"/>
        <item x="277"/>
        <item x="579"/>
        <item x="318"/>
        <item x="685"/>
        <item x="375"/>
        <item x="659"/>
        <item x="969"/>
        <item x="440"/>
        <item x="698"/>
        <item x="374"/>
        <item x="308"/>
        <item x="451"/>
        <item x="305"/>
        <item x="272"/>
        <item x="958"/>
        <item x="19"/>
        <item x="434"/>
        <item x="336"/>
        <item x="668"/>
        <item x="644"/>
        <item x="455"/>
        <item x="196"/>
        <item x="671"/>
        <item x="94"/>
        <item x="214"/>
        <item x="774"/>
        <item x="334"/>
        <item x="433"/>
        <item x="20"/>
        <item x="144"/>
        <item x="543"/>
        <item x="330"/>
        <item x="483"/>
        <item x="707"/>
        <item x="31"/>
        <item x="10"/>
        <item x="523"/>
        <item x="781"/>
        <item x="478"/>
        <item x="297"/>
        <item x="435"/>
        <item x="294"/>
        <item x="443"/>
        <item x="466"/>
        <item x="529"/>
        <item x="88"/>
        <item x="681"/>
        <item x="53"/>
        <item x="938"/>
        <item x="444"/>
        <item x="402"/>
        <item x="716"/>
        <item x="429"/>
        <item x="524"/>
        <item x="598"/>
        <item x="180"/>
        <item x="815"/>
        <item x="798"/>
        <item x="460"/>
        <item x="645"/>
        <item x="145"/>
        <item x="745"/>
        <item x="441"/>
        <item x="93"/>
        <item x="231"/>
        <item x="617"/>
        <item x="171"/>
        <item x="346"/>
        <item x="181"/>
        <item x="158"/>
        <item x="396"/>
        <item x="482"/>
        <item x="389"/>
        <item x="18"/>
        <item x="503"/>
        <item x="597"/>
        <item x="120"/>
        <item x="708"/>
        <item x="58"/>
        <item x="329"/>
        <item x="800"/>
        <item x="469"/>
        <item x="25"/>
        <item x="956"/>
        <item x="405"/>
        <item x="406"/>
        <item x="387"/>
        <item x="670"/>
        <item x="568"/>
        <item x="951"/>
        <item x="164"/>
        <item x="906"/>
        <item x="331"/>
        <item x="352"/>
        <item x="243"/>
        <item x="873"/>
        <item x="898"/>
        <item x="964"/>
        <item x="300"/>
        <item x="320"/>
        <item x="439"/>
        <item x="211"/>
        <item x="632"/>
        <item x="358"/>
        <item x="428"/>
        <item x="365"/>
        <item x="246"/>
        <item x="856"/>
        <item x="390"/>
        <item x="497"/>
        <item x="860"/>
        <item x="218"/>
        <item x="350"/>
        <item x="393"/>
        <item x="280"/>
        <item x="283"/>
        <item x="110"/>
        <item x="161"/>
        <item x="861"/>
        <item x="894"/>
        <item x="607"/>
        <item x="672"/>
        <item x="403"/>
        <item x="915"/>
        <item x="721"/>
        <item x="816"/>
        <item x="596"/>
        <item x="316"/>
        <item x="465"/>
        <item x="427"/>
        <item x="487"/>
        <item x="167"/>
        <item x="780"/>
        <item x="0"/>
        <item x="311"/>
        <item x="278"/>
        <item x="714"/>
        <item x="555"/>
        <item x="422"/>
        <item x="45"/>
        <item x="378"/>
        <item x="474"/>
        <item x="315"/>
        <item x="14"/>
        <item x="252"/>
        <item x="558"/>
        <item x="259"/>
        <item x="373"/>
        <item x="767"/>
        <item x="198"/>
        <item x="802"/>
        <item x="190"/>
        <item x="528"/>
        <item x="114"/>
        <item x="327"/>
        <item x="50"/>
        <item x="688"/>
        <item x="79"/>
        <item x="247"/>
        <item x="609"/>
        <item x="337"/>
        <item x="978"/>
        <item x="479"/>
        <item x="185"/>
        <item x="485"/>
        <item x="581"/>
        <item x="850"/>
        <item x="13"/>
        <item x="731"/>
        <item x="689"/>
        <item x="560"/>
        <item x="115"/>
        <item x="752"/>
        <item x="83"/>
        <item x="241"/>
        <item x="295"/>
        <item x="976"/>
        <item x="77"/>
        <item x="601"/>
        <item x="437"/>
        <item x="790"/>
        <item x="245"/>
        <item x="877"/>
        <item x="148"/>
        <item x="41"/>
        <item x="902"/>
        <item x="544"/>
        <item x="732"/>
        <item x="834"/>
        <item x="301"/>
        <item x="335"/>
        <item x="833"/>
        <item x="398"/>
        <item x="425"/>
        <item x="656"/>
        <item x="324"/>
        <item x="907"/>
        <item x="134"/>
        <item x="932"/>
        <item x="934"/>
        <item x="203"/>
        <item x="838"/>
        <item x="477"/>
        <item x="146"/>
        <item x="959"/>
        <item x="136"/>
        <item x="746"/>
        <item x="605"/>
        <item x="736"/>
        <item x="741"/>
        <item x="754"/>
        <item x="256"/>
        <item x="592"/>
        <item x="968"/>
        <item x="154"/>
        <item x="383"/>
        <item x="366"/>
        <item x="197"/>
        <item x="493"/>
        <item x="606"/>
        <item x="889"/>
        <item x="419"/>
        <item x="147"/>
        <item x="764"/>
        <item x="386"/>
        <item x="447"/>
        <item x="881"/>
        <item x="141"/>
        <item x="62"/>
        <item x="916"/>
        <item x="847"/>
        <item x="979"/>
        <item x="232"/>
        <item x="257"/>
        <item x="274"/>
        <item x="238"/>
        <item x="866"/>
        <item x="36"/>
        <item x="748"/>
        <item x="454"/>
        <item x="289"/>
        <item x="863"/>
        <item x="928"/>
        <item x="974"/>
        <item x="896"/>
        <item x="76"/>
        <item x="258"/>
        <item x="347"/>
        <item x="713"/>
        <item x="887"/>
        <item x="814"/>
        <item x="223"/>
        <item x="498"/>
        <item x="40"/>
        <item x="954"/>
        <item x="42"/>
        <item x="89"/>
        <item x="846"/>
        <item x="30"/>
        <item x="541"/>
        <item x="701"/>
        <item x="824"/>
        <item x="599"/>
        <item x="208"/>
        <item x="96"/>
        <item x="225"/>
        <item x="865"/>
        <item x="765"/>
        <item x="771"/>
        <item x="730"/>
        <item x="111"/>
        <item x="682"/>
        <item x="516"/>
        <item x="878"/>
        <item x="104"/>
        <item x="572"/>
        <item x="418"/>
        <item x="253"/>
        <item x="357"/>
        <item x="362"/>
        <item x="884"/>
        <item x="199"/>
        <item x="140"/>
        <item x="202"/>
        <item x="593"/>
        <item x="408"/>
        <item x="642"/>
        <item x="810"/>
        <item x="468"/>
        <item x="178"/>
        <item x="931"/>
        <item x="302"/>
        <item x="217"/>
        <item x="269"/>
        <item x="143"/>
        <item x="649"/>
        <item x="106"/>
        <item x="342"/>
        <item x="903"/>
        <item x="882"/>
        <item x="220"/>
        <item x="588"/>
        <item x="622"/>
        <item x="747"/>
        <item x="626"/>
        <item x="845"/>
        <item x="133"/>
        <item x="763"/>
        <item x="118"/>
        <item x="97"/>
        <item x="612"/>
        <item x="822"/>
        <item x="306"/>
        <item x="122"/>
        <item x="514"/>
        <item x="69"/>
        <item x="779"/>
        <item x="654"/>
        <item x="73"/>
        <item x="457"/>
        <item x="325"/>
        <item x="890"/>
        <item x="275"/>
        <item x="124"/>
        <item x="86"/>
        <item x="973"/>
        <item x="751"/>
        <item x="484"/>
        <item x="693"/>
        <item x="205"/>
        <item x="26"/>
        <item x="17"/>
        <item x="123"/>
        <item x="436"/>
        <item x="719"/>
        <item x="631"/>
        <item x="450"/>
        <item x="888"/>
        <item x="540"/>
        <item x="777"/>
        <item x="738"/>
        <item x="458"/>
        <item x="813"/>
        <item x="955"/>
        <item x="899"/>
        <item x="502"/>
        <item x="778"/>
        <item x="504"/>
        <item x="971"/>
        <item x="57"/>
        <item x="125"/>
        <item x="821"/>
        <item x="830"/>
        <item x="8"/>
        <item x="298"/>
        <item x="710"/>
        <item x="392"/>
        <item x="537"/>
        <item x="819"/>
        <item t="default"/>
      </items>
    </pivotField>
    <pivotField showAll="0">
      <items count="993">
        <item x="561"/>
        <item x="276"/>
        <item x="810"/>
        <item x="251"/>
        <item x="267"/>
        <item x="242"/>
        <item x="792"/>
        <item x="797"/>
        <item x="745"/>
        <item x="162"/>
        <item x="975"/>
        <item x="23"/>
        <item x="613"/>
        <item x="586"/>
        <item x="355"/>
        <item x="936"/>
        <item x="197"/>
        <item x="835"/>
        <item x="514"/>
        <item x="254"/>
        <item x="16"/>
        <item x="683"/>
        <item x="958"/>
        <item x="133"/>
        <item x="874"/>
        <item x="898"/>
        <item x="639"/>
        <item x="967"/>
        <item x="763"/>
        <item x="223"/>
        <item x="82"/>
        <item x="168"/>
        <item x="582"/>
        <item x="667"/>
        <item x="760"/>
        <item x="439"/>
        <item x="391"/>
        <item x="650"/>
        <item x="474"/>
        <item x="566"/>
        <item x="698"/>
        <item x="1"/>
        <item x="158"/>
        <item x="856"/>
        <item x="323"/>
        <item x="265"/>
        <item x="156"/>
        <item x="395"/>
        <item x="767"/>
        <item x="225"/>
        <item x="774"/>
        <item x="408"/>
        <item x="845"/>
        <item x="552"/>
        <item x="83"/>
        <item x="934"/>
        <item x="65"/>
        <item x="721"/>
        <item x="509"/>
        <item x="824"/>
        <item x="72"/>
        <item x="370"/>
        <item x="537"/>
        <item x="833"/>
        <item x="106"/>
        <item x="209"/>
        <item x="959"/>
        <item x="547"/>
        <item x="907"/>
        <item x="713"/>
        <item x="266"/>
        <item x="132"/>
        <item x="108"/>
        <item x="179"/>
        <item x="911"/>
        <item x="465"/>
        <item x="310"/>
        <item x="354"/>
        <item x="589"/>
        <item x="521"/>
        <item x="460"/>
        <item x="99"/>
        <item x="284"/>
        <item x="765"/>
        <item x="143"/>
        <item x="450"/>
        <item x="775"/>
        <item x="808"/>
        <item x="956"/>
        <item x="401"/>
        <item x="631"/>
        <item x="575"/>
        <item x="933"/>
        <item x="432"/>
        <item x="152"/>
        <item x="523"/>
        <item x="653"/>
        <item x="800"/>
        <item x="961"/>
        <item x="39"/>
        <item x="954"/>
        <item x="255"/>
        <item x="796"/>
        <item x="188"/>
        <item x="34"/>
        <item x="196"/>
        <item x="214"/>
        <item x="304"/>
        <item x="875"/>
        <item x="63"/>
        <item x="385"/>
        <item x="973"/>
        <item x="194"/>
        <item x="244"/>
        <item x="729"/>
        <item x="781"/>
        <item x="682"/>
        <item x="920"/>
        <item x="635"/>
        <item x="793"/>
        <item x="904"/>
        <item x="282"/>
        <item x="68"/>
        <item x="632"/>
        <item x="91"/>
        <item x="211"/>
        <item x="972"/>
        <item x="949"/>
        <item x="48"/>
        <item x="831"/>
        <item x="493"/>
        <item x="377"/>
        <item x="584"/>
        <item x="688"/>
        <item x="926"/>
        <item x="559"/>
        <item x="326"/>
        <item x="190"/>
        <item x="22"/>
        <item x="333"/>
        <item x="678"/>
        <item x="497"/>
        <item x="495"/>
        <item x="449"/>
        <item x="71"/>
        <item x="533"/>
        <item x="248"/>
        <item x="176"/>
        <item x="838"/>
        <item x="272"/>
        <item x="659"/>
        <item x="136"/>
        <item x="636"/>
        <item x="602"/>
        <item x="673"/>
        <item x="434"/>
        <item x="468"/>
        <item x="31"/>
        <item x="380"/>
        <item x="531"/>
        <item x="481"/>
        <item x="600"/>
        <item x="681"/>
        <item x="928"/>
        <item x="328"/>
        <item x="532"/>
        <item x="186"/>
        <item x="805"/>
        <item x="288"/>
        <item x="406"/>
        <item x="407"/>
        <item x="633"/>
        <item x="642"/>
        <item x="446"/>
        <item x="919"/>
        <item x="9"/>
        <item x="862"/>
        <item x="866"/>
        <item x="353"/>
        <item x="246"/>
        <item x="665"/>
        <item x="219"/>
        <item x="697"/>
        <item x="233"/>
        <item x="706"/>
        <item x="851"/>
        <item x="27"/>
        <item x="517"/>
        <item x="951"/>
        <item x="487"/>
        <item x="854"/>
        <item x="92"/>
        <item x="45"/>
        <item x="259"/>
        <item x="200"/>
        <item x="927"/>
        <item x="116"/>
        <item x="756"/>
        <item x="424"/>
        <item x="140"/>
        <item x="41"/>
        <item x="735"/>
        <item x="658"/>
        <item x="553"/>
        <item x="129"/>
        <item x="860"/>
        <item x="279"/>
        <item x="746"/>
        <item x="256"/>
        <item x="383"/>
        <item x="551"/>
        <item x="608"/>
        <item x="896"/>
        <item x="148"/>
        <item x="811"/>
        <item x="321"/>
        <item x="257"/>
        <item x="61"/>
        <item x="814"/>
        <item x="394"/>
        <item x="605"/>
        <item x="216"/>
        <item x="711"/>
        <item x="894"/>
        <item x="823"/>
        <item x="820"/>
        <item x="12"/>
        <item x="892"/>
        <item x="908"/>
        <item x="151"/>
        <item x="28"/>
        <item x="508"/>
        <item x="410"/>
        <item x="846"/>
        <item x="859"/>
        <item x="595"/>
        <item x="409"/>
        <item x="519"/>
        <item x="707"/>
        <item x="623"/>
        <item x="725"/>
        <item x="548"/>
        <item x="743"/>
        <item x="411"/>
        <item x="98"/>
        <item x="44"/>
        <item x="718"/>
        <item x="471"/>
        <item x="74"/>
        <item x="571"/>
        <item x="507"/>
        <item x="125"/>
        <item x="462"/>
        <item x="139"/>
        <item x="890"/>
        <item x="837"/>
        <item x="705"/>
        <item x="506"/>
        <item x="392"/>
        <item x="692"/>
        <item x="676"/>
        <item x="737"/>
        <item x="73"/>
        <item x="131"/>
        <item x="597"/>
        <item x="738"/>
        <item x="104"/>
        <item x="96"/>
        <item x="655"/>
        <item x="604"/>
        <item x="753"/>
        <item x="217"/>
        <item x="522"/>
        <item x="66"/>
        <item x="457"/>
        <item x="662"/>
        <item x="100"/>
        <item x="627"/>
        <item x="989"/>
        <item x="109"/>
        <item x="841"/>
        <item x="529"/>
        <item x="569"/>
        <item x="664"/>
        <item x="103"/>
        <item x="75"/>
        <item x="341"/>
        <item x="944"/>
        <item x="764"/>
        <item x="367"/>
        <item x="54"/>
        <item x="536"/>
        <item x="520"/>
        <item x="689"/>
        <item x="660"/>
        <item x="578"/>
        <item x="290"/>
        <item x="235"/>
        <item x="319"/>
        <item x="666"/>
        <item x="239"/>
        <item x="637"/>
        <item x="262"/>
        <item x="591"/>
        <item x="758"/>
        <item x="618"/>
        <item x="222"/>
        <item x="869"/>
        <item x="181"/>
        <item x="153"/>
        <item x="730"/>
        <item x="405"/>
        <item x="110"/>
        <item x="654"/>
        <item x="415"/>
        <item x="491"/>
        <item x="456"/>
        <item x="198"/>
        <item x="565"/>
        <item x="626"/>
        <item x="47"/>
        <item x="801"/>
        <item x="675"/>
        <item x="788"/>
        <item x="881"/>
        <item x="576"/>
        <item x="749"/>
        <item x="596"/>
        <item x="94"/>
        <item x="231"/>
        <item x="11"/>
        <item x="464"/>
        <item x="93"/>
        <item x="731"/>
        <item x="329"/>
        <item x="470"/>
        <item x="979"/>
        <item x="913"/>
        <item x="984"/>
        <item x="568"/>
        <item x="285"/>
        <item x="4"/>
        <item x="122"/>
        <item x="588"/>
        <item x="368"/>
        <item x="617"/>
        <item x="431"/>
        <item x="809"/>
        <item x="313"/>
        <item x="418"/>
        <item x="679"/>
        <item x="24"/>
        <item x="777"/>
        <item x="955"/>
        <item x="283"/>
        <item x="868"/>
        <item x="554"/>
        <item x="249"/>
        <item x="384"/>
        <item x="744"/>
        <item x="978"/>
        <item x="314"/>
        <item x="787"/>
        <item x="953"/>
        <item x="931"/>
        <item x="115"/>
        <item x="170"/>
        <item x="443"/>
        <item x="178"/>
        <item x="640"/>
        <item x="425"/>
        <item x="312"/>
        <item x="657"/>
        <item x="603"/>
        <item x="727"/>
        <item x="977"/>
        <item x="263"/>
        <item x="925"/>
        <item x="943"/>
        <item x="388"/>
        <item x="264"/>
        <item x="541"/>
        <item x="174"/>
        <item x="750"/>
        <item x="130"/>
        <item x="946"/>
        <item x="85"/>
        <item x="167"/>
        <item x="286"/>
        <item x="638"/>
        <item x="794"/>
        <item x="117"/>
        <item x="680"/>
        <item x="871"/>
        <item x="363"/>
        <item x="757"/>
        <item x="761"/>
        <item x="564"/>
        <item x="587"/>
        <item x="873"/>
        <item x="36"/>
        <item x="382"/>
        <item x="67"/>
        <item x="748"/>
        <item x="843"/>
        <item x="937"/>
        <item x="535"/>
        <item x="641"/>
        <item x="616"/>
        <item x="747"/>
        <item x="921"/>
        <item x="356"/>
        <item x="686"/>
        <item x="210"/>
        <item x="250"/>
        <item x="76"/>
        <item x="628"/>
        <item x="492"/>
        <item x="303"/>
        <item x="733"/>
        <item x="253"/>
        <item x="974"/>
        <item x="962"/>
        <item x="141"/>
        <item x="195"/>
        <item x="469"/>
        <item x="180"/>
        <item x="842"/>
        <item x="427"/>
        <item x="271"/>
        <item x="221"/>
        <item x="220"/>
        <item x="671"/>
        <item x="751"/>
        <item x="850"/>
        <item x="119"/>
        <item x="848"/>
        <item x="202"/>
        <item x="828"/>
        <item x="123"/>
        <item x="877"/>
        <item x="755"/>
        <item x="207"/>
        <item x="883"/>
        <item x="722"/>
        <item x="165"/>
        <item x="567"/>
        <item x="371"/>
        <item x="782"/>
        <item x="742"/>
        <item x="965"/>
        <item x="364"/>
        <item x="52"/>
        <item x="779"/>
        <item x="726"/>
        <item x="473"/>
        <item x="298"/>
        <item x="619"/>
        <item x="528"/>
        <item x="621"/>
        <item x="812"/>
        <item x="663"/>
        <item x="479"/>
        <item x="555"/>
        <item x="511"/>
        <item x="855"/>
        <item x="294"/>
        <item x="512"/>
        <item x="947"/>
        <item x="668"/>
        <item x="500"/>
        <item x="430"/>
        <item x="526"/>
        <item x="957"/>
        <item x="461"/>
        <item x="185"/>
        <item x="146"/>
        <item x="620"/>
        <item x="818"/>
        <item x="736"/>
        <item x="577"/>
        <item x="203"/>
        <item x="166"/>
        <item x="720"/>
        <item x="261"/>
        <item x="3"/>
        <item x="939"/>
        <item x="273"/>
        <item x="159"/>
        <item x="540"/>
        <item x="863"/>
        <item x="932"/>
        <item x="938"/>
        <item x="982"/>
        <item x="592"/>
        <item x="213"/>
        <item x="208"/>
        <item x="237"/>
        <item x="472"/>
        <item x="503"/>
        <item x="917"/>
        <item x="163"/>
        <item x="550"/>
        <item x="15"/>
        <item x="952"/>
        <item x="560"/>
        <item x="369"/>
        <item x="772"/>
        <item x="229"/>
        <item x="815"/>
        <item x="351"/>
        <item x="120"/>
        <item x="193"/>
        <item x="580"/>
        <item x="50"/>
        <item x="80"/>
        <item x="612"/>
        <item x="912"/>
        <item x="5"/>
        <item x="480"/>
        <item x="583"/>
        <item x="734"/>
        <item x="562"/>
        <item x="714"/>
        <item x="295"/>
        <item x="309"/>
        <item x="438"/>
        <item x="453"/>
        <item x="893"/>
        <item x="909"/>
        <item x="301"/>
        <item x="32"/>
        <item x="324"/>
        <item x="861"/>
        <item x="844"/>
        <item x="496"/>
        <item x="887"/>
        <item x="60"/>
        <item x="37"/>
        <item x="799"/>
        <item x="773"/>
        <item x="915"/>
        <item x="29"/>
        <item x="296"/>
        <item x="305"/>
        <item x="741"/>
        <item x="510"/>
        <item x="513"/>
        <item x="361"/>
        <item x="752"/>
        <item x="455"/>
        <item x="732"/>
        <item x="870"/>
        <item x="330"/>
        <item x="127"/>
        <item x="299"/>
        <item x="436"/>
        <item x="89"/>
        <item x="490"/>
        <item x="21"/>
        <item x="349"/>
        <item x="226"/>
        <item x="549"/>
        <item x="184"/>
        <item x="776"/>
        <item x="646"/>
        <item x="685"/>
        <item x="49"/>
        <item x="611"/>
        <item x="924"/>
        <item x="483"/>
        <item x="599"/>
        <item x="614"/>
        <item x="900"/>
        <item x="966"/>
        <item x="813"/>
        <item x="154"/>
        <item x="387"/>
        <item x="768"/>
        <item x="960"/>
        <item x="372"/>
        <item x="622"/>
        <item x="858"/>
        <item x="339"/>
        <item x="306"/>
        <item x="43"/>
        <item x="656"/>
        <item x="644"/>
        <item x="287"/>
        <item x="26"/>
        <item x="400"/>
        <item x="826"/>
        <item x="440"/>
        <item x="376"/>
        <item x="317"/>
        <item x="2"/>
        <item x="945"/>
        <item x="504"/>
        <item x="864"/>
        <item x="86"/>
        <item x="81"/>
        <item x="381"/>
        <item x="454"/>
        <item x="307"/>
        <item x="728"/>
        <item x="648"/>
        <item x="901"/>
        <item x="802"/>
        <item x="950"/>
        <item x="515"/>
        <item x="624"/>
        <item x="878"/>
        <item x="593"/>
        <item x="964"/>
        <item x="277"/>
        <item x="51"/>
        <item x="690"/>
        <item x="585"/>
        <item x="247"/>
        <item x="661"/>
        <item x="780"/>
        <item x="236"/>
        <item x="348"/>
        <item x="538"/>
        <item x="476"/>
        <item x="463"/>
        <item x="55"/>
        <item x="579"/>
        <item x="829"/>
        <item x="79"/>
        <item x="435"/>
        <item x="161"/>
        <item x="421"/>
        <item x="413"/>
        <item x="215"/>
        <item x="834"/>
        <item x="398"/>
        <item x="699"/>
        <item x="426"/>
        <item x="798"/>
        <item x="135"/>
        <item x="709"/>
        <item x="433"/>
        <item x="138"/>
        <item x="172"/>
        <item x="630"/>
        <item x="228"/>
        <item x="155"/>
        <item x="445"/>
        <item x="524"/>
        <item x="268"/>
        <item x="150"/>
        <item x="652"/>
        <item x="240"/>
        <item x="544"/>
        <item x="322"/>
        <item x="344"/>
        <item x="806"/>
        <item x="183"/>
        <item x="396"/>
        <item x="389"/>
        <item x="572"/>
        <item x="771"/>
        <item x="693"/>
        <item x="723"/>
        <item x="986"/>
        <item x="422"/>
        <item x="669"/>
        <item x="171"/>
        <item x="397"/>
        <item x="281"/>
        <item x="791"/>
        <item x="270"/>
        <item x="291"/>
        <item x="46"/>
        <item x="230"/>
        <item x="56"/>
        <item x="399"/>
        <item x="59"/>
        <item x="177"/>
        <item x="976"/>
        <item x="97"/>
        <item x="832"/>
        <item x="447"/>
        <item x="379"/>
        <item x="804"/>
        <item x="189"/>
        <item x="987"/>
        <item x="489"/>
        <item x="940"/>
        <item x="867"/>
        <item x="269"/>
        <item x="7"/>
        <item x="563"/>
        <item x="651"/>
        <item x="902"/>
        <item x="687"/>
        <item x="889"/>
        <item x="477"/>
        <item x="417"/>
        <item x="134"/>
        <item x="615"/>
        <item x="516"/>
        <item x="70"/>
        <item x="784"/>
        <item x="704"/>
        <item x="311"/>
        <item x="278"/>
        <item x="275"/>
        <item x="985"/>
        <item x="485"/>
        <item x="124"/>
        <item x="14"/>
        <item x="114"/>
        <item x="790"/>
        <item x="819"/>
        <item x="906"/>
        <item x="192"/>
        <item x="930"/>
        <item x="33"/>
        <item x="327"/>
        <item x="8"/>
        <item x="64"/>
        <item x="942"/>
        <item x="484"/>
        <item x="825"/>
        <item x="534"/>
        <item x="359"/>
        <item x="78"/>
        <item x="88"/>
        <item x="293"/>
        <item x="795"/>
        <item x="245"/>
        <item x="182"/>
        <item x="416"/>
        <item x="821"/>
        <item x="38"/>
        <item x="803"/>
        <item x="338"/>
        <item x="442"/>
        <item x="941"/>
        <item x="876"/>
        <item x="865"/>
        <item x="205"/>
        <item x="234"/>
        <item x="849"/>
        <item x="128"/>
        <item x="677"/>
        <item x="121"/>
        <item x="980"/>
        <item x="164"/>
        <item x="556"/>
        <item x="672"/>
        <item x="570"/>
        <item x="769"/>
        <item x="292"/>
        <item x="916"/>
        <item x="888"/>
        <item x="243"/>
        <item x="853"/>
        <item x="414"/>
        <item x="701"/>
        <item x="696"/>
        <item x="289"/>
        <item x="702"/>
        <item x="318"/>
        <item x="358"/>
        <item x="429"/>
        <item x="482"/>
        <item x="69"/>
        <item x="899"/>
        <item x="347"/>
        <item x="102"/>
        <item x="502"/>
        <item x="40"/>
        <item x="350"/>
        <item x="817"/>
        <item x="111"/>
        <item x="227"/>
        <item x="830"/>
        <item x="601"/>
        <item x="35"/>
        <item x="19"/>
        <item x="316"/>
        <item x="428"/>
        <item x="770"/>
        <item x="6"/>
        <item x="95"/>
        <item x="412"/>
        <item x="739"/>
        <item x="545"/>
        <item x="201"/>
        <item x="423"/>
        <item x="10"/>
        <item x="762"/>
        <item x="847"/>
        <item x="297"/>
        <item x="530"/>
        <item x="684"/>
        <item x="403"/>
        <item x="857"/>
        <item x="206"/>
        <item x="558"/>
        <item x="948"/>
        <item x="175"/>
        <item x="332"/>
        <item x="754"/>
        <item x="884"/>
        <item x="935"/>
        <item x="649"/>
        <item x="57"/>
        <item x="840"/>
        <item x="58"/>
        <item x="335"/>
        <item x="766"/>
        <item x="882"/>
        <item x="25"/>
        <item x="260"/>
        <item x="501"/>
        <item x="789"/>
        <item x="914"/>
        <item x="581"/>
        <item x="969"/>
        <item x="137"/>
        <item x="375"/>
        <item x="607"/>
        <item x="708"/>
        <item x="880"/>
        <item x="759"/>
        <item x="981"/>
        <item x="191"/>
        <item x="441"/>
        <item x="366"/>
        <item x="970"/>
        <item x="879"/>
        <item x="374"/>
        <item x="308"/>
        <item x="452"/>
        <item x="923"/>
        <item x="778"/>
        <item x="498"/>
        <item x="670"/>
        <item x="274"/>
        <item x="238"/>
        <item x="145"/>
        <item x="258"/>
        <item x="610"/>
        <item x="674"/>
        <item x="466"/>
        <item x="499"/>
        <item x="444"/>
        <item x="467"/>
        <item x="378"/>
        <item x="315"/>
        <item x="527"/>
        <item x="694"/>
        <item x="574"/>
        <item x="929"/>
        <item x="362"/>
        <item x="187"/>
        <item x="346"/>
        <item x="918"/>
        <item x="160"/>
        <item x="101"/>
        <item x="691"/>
        <item x="144"/>
        <item x="629"/>
        <item x="360"/>
        <item x="331"/>
        <item x="839"/>
        <item x="897"/>
        <item x="87"/>
        <item x="113"/>
        <item x="606"/>
        <item x="300"/>
        <item x="343"/>
        <item x="478"/>
        <item x="895"/>
        <item x="147"/>
        <item x="340"/>
        <item x="645"/>
        <item x="712"/>
        <item x="199"/>
        <item x="420"/>
        <item x="525"/>
        <item x="786"/>
        <item x="573"/>
        <item x="212"/>
        <item x="53"/>
        <item x="598"/>
        <item x="488"/>
        <item x="169"/>
        <item x="886"/>
        <item x="557"/>
        <item x="903"/>
        <item x="345"/>
        <item x="475"/>
        <item x="118"/>
        <item x="252"/>
        <item x="717"/>
        <item x="18"/>
        <item x="543"/>
        <item x="13"/>
        <item x="700"/>
        <item x="112"/>
        <item x="885"/>
        <item x="609"/>
        <item x="968"/>
        <item x="336"/>
        <item x="320"/>
        <item x="334"/>
        <item x="20"/>
        <item x="365"/>
        <item x="325"/>
        <item x="594"/>
        <item x="157"/>
        <item x="402"/>
        <item x="719"/>
        <item x="451"/>
        <item x="971"/>
        <item x="404"/>
        <item x="922"/>
        <item x="386"/>
        <item x="783"/>
        <item x="983"/>
        <item x="448"/>
        <item x="785"/>
        <item x="991"/>
        <item x="716"/>
        <item x="173"/>
        <item x="539"/>
        <item x="373"/>
        <item x="505"/>
        <item x="710"/>
        <item x="337"/>
        <item x="715"/>
        <item x="224"/>
        <item x="352"/>
        <item x="42"/>
        <item x="90"/>
        <item x="905"/>
        <item x="84"/>
        <item x="703"/>
        <item x="149"/>
        <item x="105"/>
        <item x="546"/>
        <item x="891"/>
        <item x="390"/>
        <item x="643"/>
        <item x="816"/>
        <item x="218"/>
        <item x="647"/>
        <item x="393"/>
        <item x="280"/>
        <item x="740"/>
        <item x="724"/>
        <item x="822"/>
        <item x="494"/>
        <item x="0"/>
        <item x="437"/>
        <item x="142"/>
        <item x="634"/>
        <item x="232"/>
        <item x="459"/>
        <item x="807"/>
        <item x="126"/>
        <item x="990"/>
        <item x="77"/>
        <item x="486"/>
        <item x="241"/>
        <item x="988"/>
        <item x="963"/>
        <item x="30"/>
        <item x="357"/>
        <item x="204"/>
        <item x="302"/>
        <item x="107"/>
        <item x="910"/>
        <item x="62"/>
        <item x="458"/>
        <item x="17"/>
        <item x="542"/>
        <item x="827"/>
        <item x="836"/>
        <item x="852"/>
        <item x="872"/>
        <item x="518"/>
        <item x="419"/>
        <item x="342"/>
        <item x="590"/>
        <item x="625"/>
        <item x="695"/>
        <item t="default"/>
      </items>
    </pivotField>
  </pivotFields>
  <rowFields count="1">
    <field x="0"/>
  </rowFields>
  <rowItems count="6">
    <i>
      <x/>
    </i>
    <i>
      <x v="1"/>
    </i>
    <i>
      <x v="2"/>
    </i>
    <i>
      <x v="3"/>
    </i>
    <i>
      <x v="4"/>
    </i>
    <i t="grand">
      <x/>
    </i>
  </rowItems>
  <colFields count="1">
    <field x="1"/>
  </colFields>
  <colItems count="5">
    <i>
      <x/>
    </i>
    <i>
      <x v="1"/>
    </i>
    <i>
      <x v="2"/>
    </i>
    <i>
      <x v="3"/>
    </i>
    <i t="grand">
      <x/>
    </i>
  </colItems>
  <dataFields count="1">
    <dataField name="Average of Price" fld="5" subtotal="average"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FA46F4-8833-4162-B1A3-8FBC650292E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33" firstHeaderRow="1" firstDataRow="1" firstDataCol="1"/>
  <pivotFields count="7">
    <pivotField showAll="0">
      <items count="6">
        <item x="1"/>
        <item x="3"/>
        <item x="2"/>
        <item x="0"/>
        <item x="4"/>
        <item t="default"/>
      </items>
    </pivotField>
    <pivotField showAll="0"/>
    <pivotField showAll="0"/>
    <pivotField axis="axisRow" showAll="0">
      <items count="7">
        <item x="2"/>
        <item x="0"/>
        <item x="4"/>
        <item x="5"/>
        <item x="3"/>
        <item x="1"/>
        <item t="default"/>
      </items>
    </pivotField>
    <pivotField showAll="0"/>
    <pivotField showAll="0">
      <items count="981">
        <item x="927"/>
        <item x="473"/>
        <item x="23"/>
        <item x="82"/>
        <item x="559"/>
        <item x="610"/>
        <item x="391"/>
        <item x="242"/>
        <item x="105"/>
        <item x="276"/>
        <item x="805"/>
        <item x="438"/>
        <item x="207"/>
        <item x="521"/>
        <item x="160"/>
        <item x="251"/>
        <item x="949"/>
        <item x="267"/>
        <item x="535"/>
        <item x="755"/>
        <item x="355"/>
        <item x="868"/>
        <item x="63"/>
        <item x="385"/>
        <item x="829"/>
        <item x="354"/>
        <item x="827"/>
        <item x="770"/>
        <item x="70"/>
        <item x="900"/>
        <item x="224"/>
        <item x="531"/>
        <item x="377"/>
        <item x="248"/>
        <item x="16"/>
        <item x="676"/>
        <item x="174"/>
        <item x="696"/>
        <item x="657"/>
        <item x="957"/>
        <item x="762"/>
        <item x="266"/>
        <item x="841"/>
        <item x="787"/>
        <item x="718"/>
        <item x="806"/>
        <item x="817"/>
        <item x="641"/>
        <item x="151"/>
        <item x="629"/>
        <item x="840"/>
        <item x="825"/>
        <item x="792"/>
        <item x="740"/>
        <item x="1"/>
        <item x="557"/>
        <item x="883"/>
        <item x="304"/>
        <item x="107"/>
        <item x="920"/>
        <item x="901"/>
        <item x="72"/>
        <item x="423"/>
        <item x="519"/>
        <item x="132"/>
        <item x="98"/>
        <item x="551"/>
        <item x="722"/>
        <item x="867"/>
        <item x="947"/>
        <item x="638"/>
        <item x="926"/>
        <item x="885"/>
        <item x="64"/>
        <item x="28"/>
        <item x="520"/>
        <item x="852"/>
        <item x="963"/>
        <item x="517"/>
        <item x="945"/>
        <item x="660"/>
        <item x="222"/>
        <item x="658"/>
        <item x="108"/>
        <item x="445"/>
        <item x="138"/>
        <item x="549"/>
        <item x="448"/>
        <item x="9"/>
        <item x="166"/>
        <item x="545"/>
        <item x="749"/>
        <item x="467"/>
        <item x="290"/>
        <item x="380"/>
        <item x="319"/>
        <item x="636"/>
        <item x="684"/>
        <item x="67"/>
        <item x="615"/>
        <item x="530"/>
        <item x="288"/>
        <item x="803"/>
        <item x="972"/>
        <item x="490"/>
        <item x="912"/>
        <item x="95"/>
        <item x="326"/>
        <item x="602"/>
        <item x="368"/>
        <item x="156"/>
        <item x="855"/>
        <item x="313"/>
        <item x="99"/>
        <item x="409"/>
        <item x="952"/>
        <item x="92"/>
        <item x="791"/>
        <item x="620"/>
        <item x="410"/>
        <item x="312"/>
        <item x="743"/>
        <item x="584"/>
        <item x="139"/>
        <item x="831"/>
        <item x="417"/>
        <item x="244"/>
        <item x="518"/>
        <item x="172"/>
        <item x="279"/>
        <item x="687"/>
        <item x="734"/>
        <item x="195"/>
        <item x="507"/>
        <item x="574"/>
        <item x="818"/>
        <item x="262"/>
        <item x="370"/>
        <item x="837"/>
        <item x="512"/>
        <item x="12"/>
        <item x="254"/>
        <item x="950"/>
        <item x="353"/>
        <item x="48"/>
        <item x="414"/>
        <item x="102"/>
        <item x="663"/>
        <item x="563"/>
        <item x="695"/>
        <item x="582"/>
        <item x="686"/>
        <item x="384"/>
        <item x="569"/>
        <item x="486"/>
        <item x="874"/>
        <item x="634"/>
        <item x="314"/>
        <item x="680"/>
        <item x="176"/>
        <item x="472"/>
        <item x="356"/>
        <item x="424"/>
        <item x="904"/>
        <item x="967"/>
        <item x="595"/>
        <item x="285"/>
        <item x="426"/>
        <item x="586"/>
        <item x="812"/>
        <item x="219"/>
        <item x="430"/>
        <item x="727"/>
        <item x="804"/>
        <item x="575"/>
        <item x="401"/>
        <item x="891"/>
        <item x="321"/>
        <item x="135"/>
        <item x="635"/>
        <item x="623"/>
        <item x="394"/>
        <item x="603"/>
        <item x="640"/>
        <item x="431"/>
        <item x="848"/>
        <item x="923"/>
        <item x="206"/>
        <item x="758"/>
        <item x="480"/>
        <item x="506"/>
        <item x="655"/>
        <item x="921"/>
        <item x="724"/>
        <item x="54"/>
        <item x="953"/>
        <item x="705"/>
        <item x="965"/>
        <item x="186"/>
        <item x="227"/>
        <item x="918"/>
        <item x="715"/>
        <item x="165"/>
        <item x="81"/>
        <item x="565"/>
        <item x="121"/>
        <item x="239"/>
        <item x="273"/>
        <item x="886"/>
        <item x="723"/>
        <item x="589"/>
        <item x="580"/>
        <item x="772"/>
        <item x="66"/>
        <item x="237"/>
        <item x="744"/>
        <item x="665"/>
        <item x="233"/>
        <item x="733"/>
        <item x="548"/>
        <item x="533"/>
        <item x="37"/>
        <item x="653"/>
        <item x="948"/>
        <item x="404"/>
        <item x="652"/>
        <item x="75"/>
        <item x="633"/>
        <item x="788"/>
        <item x="977"/>
        <item x="648"/>
        <item x="299"/>
        <item x="717"/>
        <item x="309"/>
        <item x="90"/>
        <item x="567"/>
        <item x="128"/>
        <item x="163"/>
        <item x="371"/>
        <item x="970"/>
        <item x="495"/>
        <item x="880"/>
        <item x="728"/>
        <item x="74"/>
        <item x="637"/>
        <item x="910"/>
        <item x="564"/>
        <item x="864"/>
        <item x="753"/>
        <item x="510"/>
        <item x="511"/>
        <item x="4"/>
        <item x="820"/>
        <item x="369"/>
        <item x="317"/>
        <item x="2"/>
        <item x="936"/>
        <item x="849"/>
        <item x="24"/>
        <item x="323"/>
        <item x="742"/>
        <item x="80"/>
        <item x="265"/>
        <item x="155"/>
        <item x="646"/>
        <item x="235"/>
        <item x="683"/>
        <item x="552"/>
        <item x="201"/>
        <item x="491"/>
        <item x="395"/>
        <item x="962"/>
        <item x="966"/>
        <item x="854"/>
        <item x="782"/>
        <item x="221"/>
        <item x="546"/>
        <item x="179"/>
        <item x="739"/>
        <item x="769"/>
        <item x="775"/>
        <item x="152"/>
        <item x="843"/>
        <item x="929"/>
        <item x="44"/>
        <item x="407"/>
        <item x="470"/>
        <item x="908"/>
        <item x="839"/>
        <item x="29"/>
        <item x="639"/>
        <item x="461"/>
        <item x="109"/>
        <item x="832"/>
        <item x="550"/>
        <item x="462"/>
        <item x="600"/>
        <item x="616"/>
        <item x="793"/>
        <item x="674"/>
        <item x="264"/>
        <item x="137"/>
        <item x="809"/>
        <item x="351"/>
        <item x="796"/>
        <item x="553"/>
        <item x="509"/>
        <item x="797"/>
        <item x="228"/>
        <item x="513"/>
        <item x="621"/>
        <item x="268"/>
        <item x="103"/>
        <item x="591"/>
        <item x="678"/>
        <item x="608"/>
        <item x="452"/>
        <item x="11"/>
        <item x="328"/>
        <item x="463"/>
        <item x="71"/>
        <item x="184"/>
        <item x="766"/>
        <item x="611"/>
        <item x="397"/>
        <item x="475"/>
        <item x="630"/>
        <item x="851"/>
        <item x="43"/>
        <item x="914"/>
        <item x="643"/>
        <item x="261"/>
        <item x="566"/>
        <item x="60"/>
        <item x="175"/>
        <item x="768"/>
        <item x="412"/>
        <item x="625"/>
        <item x="3"/>
        <item x="376"/>
        <item x="303"/>
        <item x="697"/>
        <item x="157"/>
        <item x="859"/>
        <item x="857"/>
        <item x="662"/>
        <item x="590"/>
        <item x="85"/>
        <item x="836"/>
        <item x="561"/>
        <item x="725"/>
        <item x="711"/>
        <item x="704"/>
        <item x="935"/>
        <item x="149"/>
        <item x="650"/>
        <item x="27"/>
        <item x="200"/>
        <item x="515"/>
        <item x="942"/>
        <item x="91"/>
        <item x="489"/>
        <item x="15"/>
        <item x="21"/>
        <item x="131"/>
        <item x="570"/>
        <item x="547"/>
        <item x="944"/>
        <item x="191"/>
        <item x="177"/>
        <item x="168"/>
        <item x="583"/>
        <item x="49"/>
        <item x="46"/>
        <item x="905"/>
        <item x="442"/>
        <item x="536"/>
        <item x="526"/>
        <item x="618"/>
        <item x="661"/>
        <item x="664"/>
        <item x="464"/>
        <item x="893"/>
        <item x="807"/>
        <item x="310"/>
        <item x="372"/>
        <item x="420"/>
        <item x="587"/>
        <item x="459"/>
        <item x="187"/>
        <item x="32"/>
        <item x="263"/>
        <item x="338"/>
        <item x="183"/>
        <item x="284"/>
        <item x="388"/>
        <item x="760"/>
        <item x="853"/>
        <item x="432"/>
        <item x="142"/>
        <item x="539"/>
        <item x="862"/>
        <item x="476"/>
        <item x="675"/>
        <item x="416"/>
        <item x="449"/>
        <item x="794"/>
        <item x="162"/>
        <item x="554"/>
        <item x="116"/>
        <item x="413"/>
        <item x="562"/>
        <item x="737"/>
        <item x="344"/>
        <item x="628"/>
        <item x="61"/>
        <item x="801"/>
        <item x="922"/>
        <item x="700"/>
        <item x="808"/>
        <item x="215"/>
        <item x="892"/>
        <item x="573"/>
        <item x="126"/>
        <item x="786"/>
        <item x="925"/>
        <item x="270"/>
        <item x="709"/>
        <item x="291"/>
        <item x="47"/>
        <item x="673"/>
        <item x="783"/>
        <item x="212"/>
        <item x="293"/>
        <item x="811"/>
        <item x="150"/>
        <item x="59"/>
        <item x="471"/>
        <item x="236"/>
        <item x="651"/>
        <item x="349"/>
        <item x="250"/>
        <item x="415"/>
        <item x="594"/>
        <item x="795"/>
        <item x="735"/>
        <item x="975"/>
        <item x="488"/>
        <item x="234"/>
        <item x="823"/>
        <item x="943"/>
        <item x="78"/>
        <item x="39"/>
        <item x="255"/>
        <item x="7"/>
        <item x="828"/>
        <item x="271"/>
        <item x="578"/>
        <item x="669"/>
        <item x="153"/>
        <item x="34"/>
        <item x="5"/>
        <item x="194"/>
        <item x="170"/>
        <item x="870"/>
        <item x="287"/>
        <item x="627"/>
        <item x="702"/>
        <item x="505"/>
        <item x="876"/>
        <item x="213"/>
        <item x="694"/>
        <item x="173"/>
        <item x="113"/>
        <item x="750"/>
        <item x="240"/>
        <item x="703"/>
        <item x="364"/>
        <item x="481"/>
        <item x="68"/>
        <item x="33"/>
        <item x="52"/>
        <item x="614"/>
        <item x="961"/>
        <item x="761"/>
        <item x="322"/>
        <item x="933"/>
        <item x="677"/>
        <item x="192"/>
        <item x="690"/>
        <item x="946"/>
        <item x="381"/>
        <item x="359"/>
        <item x="706"/>
        <item x="307"/>
        <item x="720"/>
        <item x="421"/>
        <item x="667"/>
        <item x="169"/>
        <item x="726"/>
        <item x="130"/>
        <item x="249"/>
        <item x="666"/>
        <item x="499"/>
        <item x="776"/>
        <item x="6"/>
        <item x="230"/>
        <item x="411"/>
        <item x="871"/>
        <item x="960"/>
        <item x="679"/>
        <item x="872"/>
        <item x="38"/>
        <item x="296"/>
        <item x="399"/>
        <item x="216"/>
        <item x="869"/>
        <item x="757"/>
        <item x="65"/>
        <item x="508"/>
        <item x="51"/>
        <item x="361"/>
        <item x="456"/>
        <item x="127"/>
        <item x="446"/>
        <item x="729"/>
        <item x="913"/>
        <item x="379"/>
        <item x="348"/>
        <item x="624"/>
        <item x="897"/>
        <item x="282"/>
        <item x="909"/>
        <item x="939"/>
        <item x="895"/>
        <item x="55"/>
        <item x="332"/>
        <item x="577"/>
        <item x="835"/>
        <item x="159"/>
        <item x="930"/>
        <item x="182"/>
        <item x="875"/>
        <item x="527"/>
        <item x="209"/>
        <item x="500"/>
        <item x="538"/>
        <item x="924"/>
        <item x="940"/>
        <item x="917"/>
        <item x="785"/>
        <item x="100"/>
        <item x="101"/>
        <item x="129"/>
        <item x="501"/>
        <item x="937"/>
        <item x="84"/>
        <item x="189"/>
        <item x="286"/>
        <item x="341"/>
        <item x="226"/>
        <item x="522"/>
        <item x="35"/>
        <item x="789"/>
        <item x="492"/>
        <item x="532"/>
        <item x="542"/>
        <item x="759"/>
        <item x="619"/>
        <item x="360"/>
        <item x="339"/>
        <item x="367"/>
        <item x="773"/>
        <item x="363"/>
        <item x="919"/>
        <item x="87"/>
        <item x="756"/>
        <item x="400"/>
        <item x="534"/>
        <item x="112"/>
        <item x="585"/>
        <item x="604"/>
        <item x="343"/>
        <item x="382"/>
        <item x="842"/>
        <item x="229"/>
        <item x="188"/>
        <item x="340"/>
        <item x="119"/>
        <item x="691"/>
        <item x="22"/>
        <item x="333"/>
        <item x="281"/>
        <item x="858"/>
        <item x="613"/>
        <item x="844"/>
        <item x="204"/>
        <item x="56"/>
        <item x="576"/>
        <item x="556"/>
        <item x="453"/>
        <item x="712"/>
        <item x="525"/>
        <item x="571"/>
        <item x="210"/>
        <item x="941"/>
        <item x="496"/>
        <item x="494"/>
        <item x="826"/>
        <item x="292"/>
        <item x="879"/>
        <item x="692"/>
        <item x="647"/>
        <item x="799"/>
        <item x="345"/>
        <item x="193"/>
        <item x="260"/>
        <item x="699"/>
        <item x="911"/>
        <item x="117"/>
        <item x="784"/>
        <item x="277"/>
        <item x="579"/>
        <item x="318"/>
        <item x="685"/>
        <item x="375"/>
        <item x="659"/>
        <item x="969"/>
        <item x="440"/>
        <item x="698"/>
        <item x="374"/>
        <item x="308"/>
        <item x="451"/>
        <item x="305"/>
        <item x="272"/>
        <item x="958"/>
        <item x="19"/>
        <item x="434"/>
        <item x="336"/>
        <item x="668"/>
        <item x="644"/>
        <item x="455"/>
        <item x="196"/>
        <item x="671"/>
        <item x="94"/>
        <item x="214"/>
        <item x="774"/>
        <item x="334"/>
        <item x="433"/>
        <item x="20"/>
        <item x="144"/>
        <item x="543"/>
        <item x="330"/>
        <item x="483"/>
        <item x="707"/>
        <item x="31"/>
        <item x="10"/>
        <item x="523"/>
        <item x="781"/>
        <item x="478"/>
        <item x="297"/>
        <item x="435"/>
        <item x="294"/>
        <item x="443"/>
        <item x="466"/>
        <item x="529"/>
        <item x="88"/>
        <item x="681"/>
        <item x="53"/>
        <item x="938"/>
        <item x="444"/>
        <item x="402"/>
        <item x="716"/>
        <item x="429"/>
        <item x="524"/>
        <item x="598"/>
        <item x="180"/>
        <item x="815"/>
        <item x="798"/>
        <item x="460"/>
        <item x="645"/>
        <item x="145"/>
        <item x="745"/>
        <item x="441"/>
        <item x="93"/>
        <item x="231"/>
        <item x="617"/>
        <item x="171"/>
        <item x="346"/>
        <item x="181"/>
        <item x="158"/>
        <item x="396"/>
        <item x="482"/>
        <item x="389"/>
        <item x="18"/>
        <item x="503"/>
        <item x="597"/>
        <item x="120"/>
        <item x="708"/>
        <item x="58"/>
        <item x="329"/>
        <item x="800"/>
        <item x="469"/>
        <item x="25"/>
        <item x="956"/>
        <item x="405"/>
        <item x="406"/>
        <item x="387"/>
        <item x="670"/>
        <item x="568"/>
        <item x="951"/>
        <item x="164"/>
        <item x="906"/>
        <item x="331"/>
        <item x="352"/>
        <item x="243"/>
        <item x="873"/>
        <item x="898"/>
        <item x="964"/>
        <item x="300"/>
        <item x="320"/>
        <item x="439"/>
        <item x="211"/>
        <item x="632"/>
        <item x="358"/>
        <item x="428"/>
        <item x="365"/>
        <item x="246"/>
        <item x="856"/>
        <item x="390"/>
        <item x="497"/>
        <item x="860"/>
        <item x="218"/>
        <item x="350"/>
        <item x="393"/>
        <item x="280"/>
        <item x="283"/>
        <item x="110"/>
        <item x="161"/>
        <item x="861"/>
        <item x="894"/>
        <item x="607"/>
        <item x="672"/>
        <item x="403"/>
        <item x="915"/>
        <item x="721"/>
        <item x="816"/>
        <item x="596"/>
        <item x="316"/>
        <item x="465"/>
        <item x="427"/>
        <item x="487"/>
        <item x="167"/>
        <item x="780"/>
        <item x="0"/>
        <item x="311"/>
        <item x="278"/>
        <item x="714"/>
        <item x="555"/>
        <item x="422"/>
        <item x="45"/>
        <item x="378"/>
        <item x="474"/>
        <item x="315"/>
        <item x="14"/>
        <item x="252"/>
        <item x="558"/>
        <item x="259"/>
        <item x="373"/>
        <item x="767"/>
        <item x="198"/>
        <item x="802"/>
        <item x="190"/>
        <item x="528"/>
        <item x="114"/>
        <item x="327"/>
        <item x="50"/>
        <item x="688"/>
        <item x="79"/>
        <item x="247"/>
        <item x="609"/>
        <item x="337"/>
        <item x="978"/>
        <item x="479"/>
        <item x="185"/>
        <item x="485"/>
        <item x="581"/>
        <item x="850"/>
        <item x="13"/>
        <item x="731"/>
        <item x="689"/>
        <item x="560"/>
        <item x="115"/>
        <item x="752"/>
        <item x="83"/>
        <item x="241"/>
        <item x="295"/>
        <item x="976"/>
        <item x="77"/>
        <item x="601"/>
        <item x="437"/>
        <item x="790"/>
        <item x="245"/>
        <item x="877"/>
        <item x="148"/>
        <item x="41"/>
        <item x="902"/>
        <item x="544"/>
        <item x="732"/>
        <item x="834"/>
        <item x="301"/>
        <item x="335"/>
        <item x="833"/>
        <item x="398"/>
        <item x="425"/>
        <item x="656"/>
        <item x="324"/>
        <item x="907"/>
        <item x="134"/>
        <item x="932"/>
        <item x="934"/>
        <item x="203"/>
        <item x="838"/>
        <item x="477"/>
        <item x="146"/>
        <item x="959"/>
        <item x="136"/>
        <item x="746"/>
        <item x="605"/>
        <item x="736"/>
        <item x="741"/>
        <item x="754"/>
        <item x="256"/>
        <item x="592"/>
        <item x="968"/>
        <item x="154"/>
        <item x="383"/>
        <item x="366"/>
        <item x="197"/>
        <item x="493"/>
        <item x="606"/>
        <item x="889"/>
        <item x="419"/>
        <item x="147"/>
        <item x="764"/>
        <item x="386"/>
        <item x="447"/>
        <item x="881"/>
        <item x="141"/>
        <item x="62"/>
        <item x="916"/>
        <item x="847"/>
        <item x="979"/>
        <item x="232"/>
        <item x="257"/>
        <item x="274"/>
        <item x="238"/>
        <item x="866"/>
        <item x="36"/>
        <item x="748"/>
        <item x="454"/>
        <item x="289"/>
        <item x="863"/>
        <item x="928"/>
        <item x="974"/>
        <item x="896"/>
        <item x="76"/>
        <item x="258"/>
        <item x="347"/>
        <item x="713"/>
        <item x="887"/>
        <item x="814"/>
        <item x="223"/>
        <item x="498"/>
        <item x="40"/>
        <item x="954"/>
        <item x="42"/>
        <item x="89"/>
        <item x="846"/>
        <item x="30"/>
        <item x="541"/>
        <item x="701"/>
        <item x="824"/>
        <item x="599"/>
        <item x="208"/>
        <item x="96"/>
        <item x="225"/>
        <item x="865"/>
        <item x="765"/>
        <item x="771"/>
        <item x="730"/>
        <item x="111"/>
        <item x="682"/>
        <item x="516"/>
        <item x="878"/>
        <item x="104"/>
        <item x="572"/>
        <item x="418"/>
        <item x="253"/>
        <item x="357"/>
        <item x="362"/>
        <item x="884"/>
        <item x="199"/>
        <item x="140"/>
        <item x="202"/>
        <item x="593"/>
        <item x="408"/>
        <item x="642"/>
        <item x="810"/>
        <item x="468"/>
        <item x="178"/>
        <item x="931"/>
        <item x="302"/>
        <item x="217"/>
        <item x="269"/>
        <item x="143"/>
        <item x="649"/>
        <item x="106"/>
        <item x="342"/>
        <item x="903"/>
        <item x="882"/>
        <item x="220"/>
        <item x="588"/>
        <item x="622"/>
        <item x="747"/>
        <item x="626"/>
        <item x="845"/>
        <item x="133"/>
        <item x="763"/>
        <item x="118"/>
        <item x="97"/>
        <item x="612"/>
        <item x="822"/>
        <item x="306"/>
        <item x="122"/>
        <item x="514"/>
        <item x="69"/>
        <item x="779"/>
        <item x="654"/>
        <item x="73"/>
        <item x="457"/>
        <item x="325"/>
        <item x="890"/>
        <item x="275"/>
        <item x="124"/>
        <item x="86"/>
        <item x="973"/>
        <item x="751"/>
        <item x="484"/>
        <item x="693"/>
        <item x="205"/>
        <item x="26"/>
        <item x="17"/>
        <item x="123"/>
        <item x="436"/>
        <item x="719"/>
        <item x="631"/>
        <item x="450"/>
        <item x="888"/>
        <item x="540"/>
        <item x="777"/>
        <item x="738"/>
        <item x="458"/>
        <item x="813"/>
        <item x="955"/>
        <item x="899"/>
        <item x="502"/>
        <item x="778"/>
        <item x="504"/>
        <item x="971"/>
        <item x="57"/>
        <item x="125"/>
        <item x="821"/>
        <item x="830"/>
        <item x="8"/>
        <item x="298"/>
        <item x="710"/>
        <item x="392"/>
        <item x="537"/>
        <item x="819"/>
        <item t="default"/>
      </items>
    </pivotField>
    <pivotField dataField="1" showAll="0">
      <items count="993">
        <item x="561"/>
        <item x="276"/>
        <item x="810"/>
        <item x="251"/>
        <item x="267"/>
        <item x="242"/>
        <item x="792"/>
        <item x="797"/>
        <item x="745"/>
        <item x="162"/>
        <item x="975"/>
        <item x="23"/>
        <item x="613"/>
        <item x="586"/>
        <item x="355"/>
        <item x="936"/>
        <item x="197"/>
        <item x="835"/>
        <item x="514"/>
        <item x="254"/>
        <item x="16"/>
        <item x="683"/>
        <item x="958"/>
        <item x="133"/>
        <item x="874"/>
        <item x="898"/>
        <item x="639"/>
        <item x="967"/>
        <item x="763"/>
        <item x="223"/>
        <item x="82"/>
        <item x="168"/>
        <item x="582"/>
        <item x="667"/>
        <item x="760"/>
        <item x="439"/>
        <item x="391"/>
        <item x="650"/>
        <item x="474"/>
        <item x="566"/>
        <item x="698"/>
        <item x="1"/>
        <item x="158"/>
        <item x="856"/>
        <item x="323"/>
        <item x="265"/>
        <item x="156"/>
        <item x="395"/>
        <item x="767"/>
        <item x="225"/>
        <item x="774"/>
        <item x="408"/>
        <item x="845"/>
        <item x="552"/>
        <item x="83"/>
        <item x="934"/>
        <item x="65"/>
        <item x="721"/>
        <item x="509"/>
        <item x="824"/>
        <item x="72"/>
        <item x="370"/>
        <item x="537"/>
        <item x="833"/>
        <item x="106"/>
        <item x="209"/>
        <item x="959"/>
        <item x="547"/>
        <item x="907"/>
        <item x="713"/>
        <item x="266"/>
        <item x="132"/>
        <item x="108"/>
        <item x="179"/>
        <item x="911"/>
        <item x="465"/>
        <item x="310"/>
        <item x="354"/>
        <item x="589"/>
        <item x="521"/>
        <item x="460"/>
        <item x="99"/>
        <item x="284"/>
        <item x="765"/>
        <item x="143"/>
        <item x="450"/>
        <item x="775"/>
        <item x="808"/>
        <item x="956"/>
        <item x="401"/>
        <item x="631"/>
        <item x="575"/>
        <item x="933"/>
        <item x="432"/>
        <item x="152"/>
        <item x="523"/>
        <item x="653"/>
        <item x="800"/>
        <item x="961"/>
        <item x="39"/>
        <item x="954"/>
        <item x="255"/>
        <item x="796"/>
        <item x="188"/>
        <item x="34"/>
        <item x="196"/>
        <item x="214"/>
        <item x="304"/>
        <item x="875"/>
        <item x="63"/>
        <item x="385"/>
        <item x="973"/>
        <item x="194"/>
        <item x="244"/>
        <item x="729"/>
        <item x="781"/>
        <item x="682"/>
        <item x="920"/>
        <item x="635"/>
        <item x="793"/>
        <item x="904"/>
        <item x="282"/>
        <item x="68"/>
        <item x="632"/>
        <item x="91"/>
        <item x="211"/>
        <item x="972"/>
        <item x="949"/>
        <item x="48"/>
        <item x="831"/>
        <item x="493"/>
        <item x="377"/>
        <item x="584"/>
        <item x="688"/>
        <item x="926"/>
        <item x="559"/>
        <item x="326"/>
        <item x="190"/>
        <item x="22"/>
        <item x="333"/>
        <item x="678"/>
        <item x="497"/>
        <item x="495"/>
        <item x="449"/>
        <item x="71"/>
        <item x="533"/>
        <item x="248"/>
        <item x="176"/>
        <item x="838"/>
        <item x="272"/>
        <item x="659"/>
        <item x="136"/>
        <item x="636"/>
        <item x="602"/>
        <item x="673"/>
        <item x="434"/>
        <item x="468"/>
        <item x="31"/>
        <item x="380"/>
        <item x="531"/>
        <item x="481"/>
        <item x="600"/>
        <item x="681"/>
        <item x="928"/>
        <item x="328"/>
        <item x="532"/>
        <item x="186"/>
        <item x="805"/>
        <item x="288"/>
        <item x="406"/>
        <item x="407"/>
        <item x="633"/>
        <item x="642"/>
        <item x="446"/>
        <item x="919"/>
        <item x="9"/>
        <item x="862"/>
        <item x="866"/>
        <item x="353"/>
        <item x="246"/>
        <item x="665"/>
        <item x="219"/>
        <item x="697"/>
        <item x="233"/>
        <item x="706"/>
        <item x="851"/>
        <item x="27"/>
        <item x="517"/>
        <item x="951"/>
        <item x="487"/>
        <item x="854"/>
        <item x="92"/>
        <item x="45"/>
        <item x="259"/>
        <item x="200"/>
        <item x="927"/>
        <item x="116"/>
        <item x="756"/>
        <item x="424"/>
        <item x="140"/>
        <item x="41"/>
        <item x="735"/>
        <item x="658"/>
        <item x="553"/>
        <item x="129"/>
        <item x="860"/>
        <item x="279"/>
        <item x="746"/>
        <item x="256"/>
        <item x="383"/>
        <item x="551"/>
        <item x="608"/>
        <item x="896"/>
        <item x="148"/>
        <item x="811"/>
        <item x="321"/>
        <item x="257"/>
        <item x="61"/>
        <item x="814"/>
        <item x="394"/>
        <item x="605"/>
        <item x="216"/>
        <item x="711"/>
        <item x="894"/>
        <item x="823"/>
        <item x="820"/>
        <item x="12"/>
        <item x="892"/>
        <item x="908"/>
        <item x="151"/>
        <item x="28"/>
        <item x="508"/>
        <item x="410"/>
        <item x="846"/>
        <item x="859"/>
        <item x="595"/>
        <item x="409"/>
        <item x="519"/>
        <item x="707"/>
        <item x="623"/>
        <item x="725"/>
        <item x="548"/>
        <item x="743"/>
        <item x="411"/>
        <item x="98"/>
        <item x="44"/>
        <item x="718"/>
        <item x="471"/>
        <item x="74"/>
        <item x="571"/>
        <item x="507"/>
        <item x="125"/>
        <item x="462"/>
        <item x="139"/>
        <item x="890"/>
        <item x="837"/>
        <item x="705"/>
        <item x="506"/>
        <item x="392"/>
        <item x="692"/>
        <item x="676"/>
        <item x="737"/>
        <item x="73"/>
        <item x="131"/>
        <item x="597"/>
        <item x="738"/>
        <item x="104"/>
        <item x="96"/>
        <item x="655"/>
        <item x="604"/>
        <item x="753"/>
        <item x="217"/>
        <item x="522"/>
        <item x="66"/>
        <item x="457"/>
        <item x="662"/>
        <item x="100"/>
        <item x="627"/>
        <item x="989"/>
        <item x="109"/>
        <item x="841"/>
        <item x="529"/>
        <item x="569"/>
        <item x="664"/>
        <item x="103"/>
        <item x="75"/>
        <item x="341"/>
        <item x="944"/>
        <item x="764"/>
        <item x="367"/>
        <item x="54"/>
        <item x="536"/>
        <item x="520"/>
        <item x="689"/>
        <item x="660"/>
        <item x="578"/>
        <item x="290"/>
        <item x="235"/>
        <item x="319"/>
        <item x="666"/>
        <item x="239"/>
        <item x="637"/>
        <item x="262"/>
        <item x="591"/>
        <item x="758"/>
        <item x="618"/>
        <item x="222"/>
        <item x="869"/>
        <item x="181"/>
        <item x="153"/>
        <item x="730"/>
        <item x="405"/>
        <item x="110"/>
        <item x="654"/>
        <item x="415"/>
        <item x="491"/>
        <item x="456"/>
        <item x="198"/>
        <item x="565"/>
        <item x="626"/>
        <item x="47"/>
        <item x="801"/>
        <item x="675"/>
        <item x="788"/>
        <item x="881"/>
        <item x="576"/>
        <item x="749"/>
        <item x="596"/>
        <item x="94"/>
        <item x="231"/>
        <item x="11"/>
        <item x="464"/>
        <item x="93"/>
        <item x="731"/>
        <item x="329"/>
        <item x="470"/>
        <item x="979"/>
        <item x="913"/>
        <item x="984"/>
        <item x="568"/>
        <item x="285"/>
        <item x="4"/>
        <item x="122"/>
        <item x="588"/>
        <item x="368"/>
        <item x="617"/>
        <item x="431"/>
        <item x="809"/>
        <item x="313"/>
        <item x="418"/>
        <item x="679"/>
        <item x="24"/>
        <item x="777"/>
        <item x="955"/>
        <item x="283"/>
        <item x="868"/>
        <item x="554"/>
        <item x="249"/>
        <item x="384"/>
        <item x="744"/>
        <item x="978"/>
        <item x="314"/>
        <item x="787"/>
        <item x="953"/>
        <item x="931"/>
        <item x="115"/>
        <item x="170"/>
        <item x="443"/>
        <item x="178"/>
        <item x="640"/>
        <item x="425"/>
        <item x="312"/>
        <item x="657"/>
        <item x="603"/>
        <item x="727"/>
        <item x="977"/>
        <item x="263"/>
        <item x="925"/>
        <item x="943"/>
        <item x="388"/>
        <item x="264"/>
        <item x="541"/>
        <item x="174"/>
        <item x="750"/>
        <item x="130"/>
        <item x="946"/>
        <item x="85"/>
        <item x="167"/>
        <item x="286"/>
        <item x="638"/>
        <item x="794"/>
        <item x="117"/>
        <item x="680"/>
        <item x="871"/>
        <item x="363"/>
        <item x="757"/>
        <item x="761"/>
        <item x="564"/>
        <item x="587"/>
        <item x="873"/>
        <item x="36"/>
        <item x="382"/>
        <item x="67"/>
        <item x="748"/>
        <item x="843"/>
        <item x="937"/>
        <item x="535"/>
        <item x="641"/>
        <item x="616"/>
        <item x="747"/>
        <item x="921"/>
        <item x="356"/>
        <item x="686"/>
        <item x="210"/>
        <item x="250"/>
        <item x="76"/>
        <item x="628"/>
        <item x="492"/>
        <item x="303"/>
        <item x="733"/>
        <item x="253"/>
        <item x="974"/>
        <item x="962"/>
        <item x="141"/>
        <item x="195"/>
        <item x="469"/>
        <item x="180"/>
        <item x="842"/>
        <item x="427"/>
        <item x="271"/>
        <item x="221"/>
        <item x="220"/>
        <item x="671"/>
        <item x="751"/>
        <item x="850"/>
        <item x="119"/>
        <item x="848"/>
        <item x="202"/>
        <item x="828"/>
        <item x="123"/>
        <item x="877"/>
        <item x="755"/>
        <item x="207"/>
        <item x="883"/>
        <item x="722"/>
        <item x="165"/>
        <item x="567"/>
        <item x="371"/>
        <item x="782"/>
        <item x="742"/>
        <item x="965"/>
        <item x="364"/>
        <item x="52"/>
        <item x="779"/>
        <item x="726"/>
        <item x="473"/>
        <item x="298"/>
        <item x="619"/>
        <item x="528"/>
        <item x="621"/>
        <item x="812"/>
        <item x="663"/>
        <item x="479"/>
        <item x="555"/>
        <item x="511"/>
        <item x="855"/>
        <item x="294"/>
        <item x="512"/>
        <item x="947"/>
        <item x="668"/>
        <item x="500"/>
        <item x="430"/>
        <item x="526"/>
        <item x="957"/>
        <item x="461"/>
        <item x="185"/>
        <item x="146"/>
        <item x="620"/>
        <item x="818"/>
        <item x="736"/>
        <item x="577"/>
        <item x="203"/>
        <item x="166"/>
        <item x="720"/>
        <item x="261"/>
        <item x="3"/>
        <item x="939"/>
        <item x="273"/>
        <item x="159"/>
        <item x="540"/>
        <item x="863"/>
        <item x="932"/>
        <item x="938"/>
        <item x="982"/>
        <item x="592"/>
        <item x="213"/>
        <item x="208"/>
        <item x="237"/>
        <item x="472"/>
        <item x="503"/>
        <item x="917"/>
        <item x="163"/>
        <item x="550"/>
        <item x="15"/>
        <item x="952"/>
        <item x="560"/>
        <item x="369"/>
        <item x="772"/>
        <item x="229"/>
        <item x="815"/>
        <item x="351"/>
        <item x="120"/>
        <item x="193"/>
        <item x="580"/>
        <item x="50"/>
        <item x="80"/>
        <item x="612"/>
        <item x="912"/>
        <item x="5"/>
        <item x="480"/>
        <item x="583"/>
        <item x="734"/>
        <item x="562"/>
        <item x="714"/>
        <item x="295"/>
        <item x="309"/>
        <item x="438"/>
        <item x="453"/>
        <item x="893"/>
        <item x="909"/>
        <item x="301"/>
        <item x="32"/>
        <item x="324"/>
        <item x="861"/>
        <item x="844"/>
        <item x="496"/>
        <item x="887"/>
        <item x="60"/>
        <item x="37"/>
        <item x="799"/>
        <item x="773"/>
        <item x="915"/>
        <item x="29"/>
        <item x="296"/>
        <item x="305"/>
        <item x="741"/>
        <item x="510"/>
        <item x="513"/>
        <item x="361"/>
        <item x="752"/>
        <item x="455"/>
        <item x="732"/>
        <item x="870"/>
        <item x="330"/>
        <item x="127"/>
        <item x="299"/>
        <item x="436"/>
        <item x="89"/>
        <item x="490"/>
        <item x="21"/>
        <item x="349"/>
        <item x="226"/>
        <item x="549"/>
        <item x="184"/>
        <item x="776"/>
        <item x="646"/>
        <item x="685"/>
        <item x="49"/>
        <item x="611"/>
        <item x="924"/>
        <item x="483"/>
        <item x="599"/>
        <item x="614"/>
        <item x="900"/>
        <item x="966"/>
        <item x="813"/>
        <item x="154"/>
        <item x="387"/>
        <item x="768"/>
        <item x="960"/>
        <item x="372"/>
        <item x="622"/>
        <item x="858"/>
        <item x="339"/>
        <item x="306"/>
        <item x="43"/>
        <item x="656"/>
        <item x="644"/>
        <item x="287"/>
        <item x="26"/>
        <item x="400"/>
        <item x="826"/>
        <item x="440"/>
        <item x="376"/>
        <item x="317"/>
        <item x="2"/>
        <item x="945"/>
        <item x="504"/>
        <item x="864"/>
        <item x="86"/>
        <item x="81"/>
        <item x="381"/>
        <item x="454"/>
        <item x="307"/>
        <item x="728"/>
        <item x="648"/>
        <item x="901"/>
        <item x="802"/>
        <item x="950"/>
        <item x="515"/>
        <item x="624"/>
        <item x="878"/>
        <item x="593"/>
        <item x="964"/>
        <item x="277"/>
        <item x="51"/>
        <item x="690"/>
        <item x="585"/>
        <item x="247"/>
        <item x="661"/>
        <item x="780"/>
        <item x="236"/>
        <item x="348"/>
        <item x="538"/>
        <item x="476"/>
        <item x="463"/>
        <item x="55"/>
        <item x="579"/>
        <item x="829"/>
        <item x="79"/>
        <item x="435"/>
        <item x="161"/>
        <item x="421"/>
        <item x="413"/>
        <item x="215"/>
        <item x="834"/>
        <item x="398"/>
        <item x="699"/>
        <item x="426"/>
        <item x="798"/>
        <item x="135"/>
        <item x="709"/>
        <item x="433"/>
        <item x="138"/>
        <item x="172"/>
        <item x="630"/>
        <item x="228"/>
        <item x="155"/>
        <item x="445"/>
        <item x="524"/>
        <item x="268"/>
        <item x="150"/>
        <item x="652"/>
        <item x="240"/>
        <item x="544"/>
        <item x="322"/>
        <item x="344"/>
        <item x="806"/>
        <item x="183"/>
        <item x="396"/>
        <item x="389"/>
        <item x="572"/>
        <item x="771"/>
        <item x="693"/>
        <item x="723"/>
        <item x="986"/>
        <item x="422"/>
        <item x="669"/>
        <item x="171"/>
        <item x="397"/>
        <item x="281"/>
        <item x="791"/>
        <item x="270"/>
        <item x="291"/>
        <item x="46"/>
        <item x="230"/>
        <item x="56"/>
        <item x="399"/>
        <item x="59"/>
        <item x="177"/>
        <item x="976"/>
        <item x="97"/>
        <item x="832"/>
        <item x="447"/>
        <item x="379"/>
        <item x="804"/>
        <item x="189"/>
        <item x="987"/>
        <item x="489"/>
        <item x="940"/>
        <item x="867"/>
        <item x="269"/>
        <item x="7"/>
        <item x="563"/>
        <item x="651"/>
        <item x="902"/>
        <item x="687"/>
        <item x="889"/>
        <item x="477"/>
        <item x="417"/>
        <item x="134"/>
        <item x="615"/>
        <item x="516"/>
        <item x="70"/>
        <item x="784"/>
        <item x="704"/>
        <item x="311"/>
        <item x="278"/>
        <item x="275"/>
        <item x="985"/>
        <item x="485"/>
        <item x="124"/>
        <item x="14"/>
        <item x="114"/>
        <item x="790"/>
        <item x="819"/>
        <item x="906"/>
        <item x="192"/>
        <item x="930"/>
        <item x="33"/>
        <item x="327"/>
        <item x="8"/>
        <item x="64"/>
        <item x="942"/>
        <item x="484"/>
        <item x="825"/>
        <item x="534"/>
        <item x="359"/>
        <item x="78"/>
        <item x="88"/>
        <item x="293"/>
        <item x="795"/>
        <item x="245"/>
        <item x="182"/>
        <item x="416"/>
        <item x="821"/>
        <item x="38"/>
        <item x="803"/>
        <item x="338"/>
        <item x="442"/>
        <item x="941"/>
        <item x="876"/>
        <item x="865"/>
        <item x="205"/>
        <item x="234"/>
        <item x="849"/>
        <item x="128"/>
        <item x="677"/>
        <item x="121"/>
        <item x="980"/>
        <item x="164"/>
        <item x="556"/>
        <item x="672"/>
        <item x="570"/>
        <item x="769"/>
        <item x="292"/>
        <item x="916"/>
        <item x="888"/>
        <item x="243"/>
        <item x="853"/>
        <item x="414"/>
        <item x="701"/>
        <item x="696"/>
        <item x="289"/>
        <item x="702"/>
        <item x="318"/>
        <item x="358"/>
        <item x="429"/>
        <item x="482"/>
        <item x="69"/>
        <item x="899"/>
        <item x="347"/>
        <item x="102"/>
        <item x="502"/>
        <item x="40"/>
        <item x="350"/>
        <item x="817"/>
        <item x="111"/>
        <item x="227"/>
        <item x="830"/>
        <item x="601"/>
        <item x="35"/>
        <item x="19"/>
        <item x="316"/>
        <item x="428"/>
        <item x="770"/>
        <item x="6"/>
        <item x="95"/>
        <item x="412"/>
        <item x="739"/>
        <item x="545"/>
        <item x="201"/>
        <item x="423"/>
        <item x="10"/>
        <item x="762"/>
        <item x="847"/>
        <item x="297"/>
        <item x="530"/>
        <item x="684"/>
        <item x="403"/>
        <item x="857"/>
        <item x="206"/>
        <item x="558"/>
        <item x="948"/>
        <item x="175"/>
        <item x="332"/>
        <item x="754"/>
        <item x="884"/>
        <item x="935"/>
        <item x="649"/>
        <item x="57"/>
        <item x="840"/>
        <item x="58"/>
        <item x="335"/>
        <item x="766"/>
        <item x="882"/>
        <item x="25"/>
        <item x="260"/>
        <item x="501"/>
        <item x="789"/>
        <item x="914"/>
        <item x="581"/>
        <item x="969"/>
        <item x="137"/>
        <item x="375"/>
        <item x="607"/>
        <item x="708"/>
        <item x="880"/>
        <item x="759"/>
        <item x="981"/>
        <item x="191"/>
        <item x="441"/>
        <item x="366"/>
        <item x="970"/>
        <item x="879"/>
        <item x="374"/>
        <item x="308"/>
        <item x="452"/>
        <item x="923"/>
        <item x="778"/>
        <item x="498"/>
        <item x="670"/>
        <item x="274"/>
        <item x="238"/>
        <item x="145"/>
        <item x="258"/>
        <item x="610"/>
        <item x="674"/>
        <item x="466"/>
        <item x="499"/>
        <item x="444"/>
        <item x="467"/>
        <item x="378"/>
        <item x="315"/>
        <item x="527"/>
        <item x="694"/>
        <item x="574"/>
        <item x="929"/>
        <item x="362"/>
        <item x="187"/>
        <item x="346"/>
        <item x="918"/>
        <item x="160"/>
        <item x="101"/>
        <item x="691"/>
        <item x="144"/>
        <item x="629"/>
        <item x="360"/>
        <item x="331"/>
        <item x="839"/>
        <item x="897"/>
        <item x="87"/>
        <item x="113"/>
        <item x="606"/>
        <item x="300"/>
        <item x="343"/>
        <item x="478"/>
        <item x="895"/>
        <item x="147"/>
        <item x="340"/>
        <item x="645"/>
        <item x="712"/>
        <item x="199"/>
        <item x="420"/>
        <item x="525"/>
        <item x="786"/>
        <item x="573"/>
        <item x="212"/>
        <item x="53"/>
        <item x="598"/>
        <item x="488"/>
        <item x="169"/>
        <item x="886"/>
        <item x="557"/>
        <item x="903"/>
        <item x="345"/>
        <item x="475"/>
        <item x="118"/>
        <item x="252"/>
        <item x="717"/>
        <item x="18"/>
        <item x="543"/>
        <item x="13"/>
        <item x="700"/>
        <item x="112"/>
        <item x="885"/>
        <item x="609"/>
        <item x="968"/>
        <item x="336"/>
        <item x="320"/>
        <item x="334"/>
        <item x="20"/>
        <item x="365"/>
        <item x="325"/>
        <item x="594"/>
        <item x="157"/>
        <item x="402"/>
        <item x="719"/>
        <item x="451"/>
        <item x="971"/>
        <item x="404"/>
        <item x="922"/>
        <item x="386"/>
        <item x="783"/>
        <item x="983"/>
        <item x="448"/>
        <item x="785"/>
        <item x="991"/>
        <item x="716"/>
        <item x="173"/>
        <item x="539"/>
        <item x="373"/>
        <item x="505"/>
        <item x="710"/>
        <item x="337"/>
        <item x="715"/>
        <item x="224"/>
        <item x="352"/>
        <item x="42"/>
        <item x="90"/>
        <item x="905"/>
        <item x="84"/>
        <item x="703"/>
        <item x="149"/>
        <item x="105"/>
        <item x="546"/>
        <item x="891"/>
        <item x="390"/>
        <item x="643"/>
        <item x="816"/>
        <item x="218"/>
        <item x="647"/>
        <item x="393"/>
        <item x="280"/>
        <item x="740"/>
        <item x="724"/>
        <item x="822"/>
        <item x="494"/>
        <item x="0"/>
        <item x="437"/>
        <item x="142"/>
        <item x="634"/>
        <item x="232"/>
        <item x="459"/>
        <item x="807"/>
        <item x="126"/>
        <item x="990"/>
        <item x="77"/>
        <item x="486"/>
        <item x="241"/>
        <item x="988"/>
        <item x="963"/>
        <item x="30"/>
        <item x="357"/>
        <item x="204"/>
        <item x="302"/>
        <item x="107"/>
        <item x="910"/>
        <item x="62"/>
        <item x="458"/>
        <item x="17"/>
        <item x="542"/>
        <item x="827"/>
        <item x="836"/>
        <item x="852"/>
        <item x="872"/>
        <item x="518"/>
        <item x="419"/>
        <item x="342"/>
        <item x="590"/>
        <item x="625"/>
        <item x="695"/>
        <item t="default"/>
      </items>
    </pivotField>
  </pivotFields>
  <rowFields count="1">
    <field x="3"/>
  </rowFields>
  <rowItems count="7">
    <i>
      <x/>
    </i>
    <i>
      <x v="1"/>
    </i>
    <i>
      <x v="2"/>
    </i>
    <i>
      <x v="3"/>
    </i>
    <i>
      <x v="4"/>
    </i>
    <i>
      <x v="5"/>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119566-216A-4412-B503-79A878C4A80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1:G78" firstHeaderRow="1" firstDataRow="2" firstDataCol="1"/>
  <pivotFields count="7">
    <pivotField axis="axisCol" showAll="0">
      <items count="6">
        <item x="1"/>
        <item x="3"/>
        <item x="2"/>
        <item x="0"/>
        <item x="4"/>
        <item t="default"/>
      </items>
    </pivotField>
    <pivotField showAll="0">
      <items count="5">
        <item x="2"/>
        <item x="0"/>
        <item x="1"/>
        <item x="3"/>
        <item t="default"/>
      </items>
    </pivotField>
    <pivotField axis="axisRow" showAll="0">
      <items count="6">
        <item x="3"/>
        <item x="1"/>
        <item x="0"/>
        <item x="4"/>
        <item x="2"/>
        <item t="default"/>
      </items>
    </pivotField>
    <pivotField showAll="0">
      <items count="7">
        <item x="2"/>
        <item x="0"/>
        <item x="4"/>
        <item x="5"/>
        <item x="3"/>
        <item x="1"/>
        <item t="default"/>
      </items>
    </pivotField>
    <pivotField showAll="0"/>
    <pivotField showAll="0">
      <items count="981">
        <item x="927"/>
        <item x="473"/>
        <item x="23"/>
        <item x="82"/>
        <item x="559"/>
        <item x="610"/>
        <item x="391"/>
        <item x="242"/>
        <item x="105"/>
        <item x="276"/>
        <item x="805"/>
        <item x="438"/>
        <item x="207"/>
        <item x="521"/>
        <item x="160"/>
        <item x="251"/>
        <item x="949"/>
        <item x="267"/>
        <item x="535"/>
        <item x="755"/>
        <item x="355"/>
        <item x="868"/>
        <item x="63"/>
        <item x="385"/>
        <item x="829"/>
        <item x="354"/>
        <item x="827"/>
        <item x="770"/>
        <item x="70"/>
        <item x="900"/>
        <item x="224"/>
        <item x="531"/>
        <item x="377"/>
        <item x="248"/>
        <item x="16"/>
        <item x="676"/>
        <item x="174"/>
        <item x="696"/>
        <item x="657"/>
        <item x="957"/>
        <item x="762"/>
        <item x="266"/>
        <item x="841"/>
        <item x="787"/>
        <item x="718"/>
        <item x="806"/>
        <item x="817"/>
        <item x="641"/>
        <item x="151"/>
        <item x="629"/>
        <item x="840"/>
        <item x="825"/>
        <item x="792"/>
        <item x="740"/>
        <item x="1"/>
        <item x="557"/>
        <item x="883"/>
        <item x="304"/>
        <item x="107"/>
        <item x="920"/>
        <item x="901"/>
        <item x="72"/>
        <item x="423"/>
        <item x="519"/>
        <item x="132"/>
        <item x="98"/>
        <item x="551"/>
        <item x="722"/>
        <item x="867"/>
        <item x="947"/>
        <item x="638"/>
        <item x="926"/>
        <item x="885"/>
        <item x="64"/>
        <item x="28"/>
        <item x="520"/>
        <item x="852"/>
        <item x="963"/>
        <item x="517"/>
        <item x="945"/>
        <item x="660"/>
        <item x="222"/>
        <item x="658"/>
        <item x="108"/>
        <item x="445"/>
        <item x="138"/>
        <item x="549"/>
        <item x="448"/>
        <item x="9"/>
        <item x="166"/>
        <item x="545"/>
        <item x="749"/>
        <item x="467"/>
        <item x="290"/>
        <item x="380"/>
        <item x="319"/>
        <item x="636"/>
        <item x="684"/>
        <item x="67"/>
        <item x="615"/>
        <item x="530"/>
        <item x="288"/>
        <item x="803"/>
        <item x="972"/>
        <item x="490"/>
        <item x="912"/>
        <item x="95"/>
        <item x="326"/>
        <item x="602"/>
        <item x="368"/>
        <item x="156"/>
        <item x="855"/>
        <item x="313"/>
        <item x="99"/>
        <item x="409"/>
        <item x="952"/>
        <item x="92"/>
        <item x="791"/>
        <item x="620"/>
        <item x="410"/>
        <item x="312"/>
        <item x="743"/>
        <item x="584"/>
        <item x="139"/>
        <item x="831"/>
        <item x="417"/>
        <item x="244"/>
        <item x="518"/>
        <item x="172"/>
        <item x="279"/>
        <item x="687"/>
        <item x="734"/>
        <item x="195"/>
        <item x="507"/>
        <item x="574"/>
        <item x="818"/>
        <item x="262"/>
        <item x="370"/>
        <item x="837"/>
        <item x="512"/>
        <item x="12"/>
        <item x="254"/>
        <item x="950"/>
        <item x="353"/>
        <item x="48"/>
        <item x="414"/>
        <item x="102"/>
        <item x="663"/>
        <item x="563"/>
        <item x="695"/>
        <item x="582"/>
        <item x="686"/>
        <item x="384"/>
        <item x="569"/>
        <item x="486"/>
        <item x="874"/>
        <item x="634"/>
        <item x="314"/>
        <item x="680"/>
        <item x="176"/>
        <item x="472"/>
        <item x="356"/>
        <item x="424"/>
        <item x="904"/>
        <item x="967"/>
        <item x="595"/>
        <item x="285"/>
        <item x="426"/>
        <item x="586"/>
        <item x="812"/>
        <item x="219"/>
        <item x="430"/>
        <item x="727"/>
        <item x="804"/>
        <item x="575"/>
        <item x="401"/>
        <item x="891"/>
        <item x="321"/>
        <item x="135"/>
        <item x="635"/>
        <item x="623"/>
        <item x="394"/>
        <item x="603"/>
        <item x="640"/>
        <item x="431"/>
        <item x="848"/>
        <item x="923"/>
        <item x="206"/>
        <item x="758"/>
        <item x="480"/>
        <item x="506"/>
        <item x="655"/>
        <item x="921"/>
        <item x="724"/>
        <item x="54"/>
        <item x="953"/>
        <item x="705"/>
        <item x="965"/>
        <item x="186"/>
        <item x="227"/>
        <item x="918"/>
        <item x="715"/>
        <item x="165"/>
        <item x="81"/>
        <item x="565"/>
        <item x="121"/>
        <item x="239"/>
        <item x="273"/>
        <item x="886"/>
        <item x="723"/>
        <item x="589"/>
        <item x="580"/>
        <item x="772"/>
        <item x="66"/>
        <item x="237"/>
        <item x="744"/>
        <item x="665"/>
        <item x="233"/>
        <item x="733"/>
        <item x="548"/>
        <item x="533"/>
        <item x="37"/>
        <item x="653"/>
        <item x="948"/>
        <item x="404"/>
        <item x="652"/>
        <item x="75"/>
        <item x="633"/>
        <item x="788"/>
        <item x="977"/>
        <item x="648"/>
        <item x="299"/>
        <item x="717"/>
        <item x="309"/>
        <item x="90"/>
        <item x="567"/>
        <item x="128"/>
        <item x="163"/>
        <item x="371"/>
        <item x="970"/>
        <item x="495"/>
        <item x="880"/>
        <item x="728"/>
        <item x="74"/>
        <item x="637"/>
        <item x="910"/>
        <item x="564"/>
        <item x="864"/>
        <item x="753"/>
        <item x="510"/>
        <item x="511"/>
        <item x="4"/>
        <item x="820"/>
        <item x="369"/>
        <item x="317"/>
        <item x="2"/>
        <item x="936"/>
        <item x="849"/>
        <item x="24"/>
        <item x="323"/>
        <item x="742"/>
        <item x="80"/>
        <item x="265"/>
        <item x="155"/>
        <item x="646"/>
        <item x="235"/>
        <item x="683"/>
        <item x="552"/>
        <item x="201"/>
        <item x="491"/>
        <item x="395"/>
        <item x="962"/>
        <item x="966"/>
        <item x="854"/>
        <item x="782"/>
        <item x="221"/>
        <item x="546"/>
        <item x="179"/>
        <item x="739"/>
        <item x="769"/>
        <item x="775"/>
        <item x="152"/>
        <item x="843"/>
        <item x="929"/>
        <item x="44"/>
        <item x="407"/>
        <item x="470"/>
        <item x="908"/>
        <item x="839"/>
        <item x="29"/>
        <item x="639"/>
        <item x="461"/>
        <item x="109"/>
        <item x="832"/>
        <item x="550"/>
        <item x="462"/>
        <item x="600"/>
        <item x="616"/>
        <item x="793"/>
        <item x="674"/>
        <item x="264"/>
        <item x="137"/>
        <item x="809"/>
        <item x="351"/>
        <item x="796"/>
        <item x="553"/>
        <item x="509"/>
        <item x="797"/>
        <item x="228"/>
        <item x="513"/>
        <item x="621"/>
        <item x="268"/>
        <item x="103"/>
        <item x="591"/>
        <item x="678"/>
        <item x="608"/>
        <item x="452"/>
        <item x="11"/>
        <item x="328"/>
        <item x="463"/>
        <item x="71"/>
        <item x="184"/>
        <item x="766"/>
        <item x="611"/>
        <item x="397"/>
        <item x="475"/>
        <item x="630"/>
        <item x="851"/>
        <item x="43"/>
        <item x="914"/>
        <item x="643"/>
        <item x="261"/>
        <item x="566"/>
        <item x="60"/>
        <item x="175"/>
        <item x="768"/>
        <item x="412"/>
        <item x="625"/>
        <item x="3"/>
        <item x="376"/>
        <item x="303"/>
        <item x="697"/>
        <item x="157"/>
        <item x="859"/>
        <item x="857"/>
        <item x="662"/>
        <item x="590"/>
        <item x="85"/>
        <item x="836"/>
        <item x="561"/>
        <item x="725"/>
        <item x="711"/>
        <item x="704"/>
        <item x="935"/>
        <item x="149"/>
        <item x="650"/>
        <item x="27"/>
        <item x="200"/>
        <item x="515"/>
        <item x="942"/>
        <item x="91"/>
        <item x="489"/>
        <item x="15"/>
        <item x="21"/>
        <item x="131"/>
        <item x="570"/>
        <item x="547"/>
        <item x="944"/>
        <item x="191"/>
        <item x="177"/>
        <item x="168"/>
        <item x="583"/>
        <item x="49"/>
        <item x="46"/>
        <item x="905"/>
        <item x="442"/>
        <item x="536"/>
        <item x="526"/>
        <item x="618"/>
        <item x="661"/>
        <item x="664"/>
        <item x="464"/>
        <item x="893"/>
        <item x="807"/>
        <item x="310"/>
        <item x="372"/>
        <item x="420"/>
        <item x="587"/>
        <item x="459"/>
        <item x="187"/>
        <item x="32"/>
        <item x="263"/>
        <item x="338"/>
        <item x="183"/>
        <item x="284"/>
        <item x="388"/>
        <item x="760"/>
        <item x="853"/>
        <item x="432"/>
        <item x="142"/>
        <item x="539"/>
        <item x="862"/>
        <item x="476"/>
        <item x="675"/>
        <item x="416"/>
        <item x="449"/>
        <item x="794"/>
        <item x="162"/>
        <item x="554"/>
        <item x="116"/>
        <item x="413"/>
        <item x="562"/>
        <item x="737"/>
        <item x="344"/>
        <item x="628"/>
        <item x="61"/>
        <item x="801"/>
        <item x="922"/>
        <item x="700"/>
        <item x="808"/>
        <item x="215"/>
        <item x="892"/>
        <item x="573"/>
        <item x="126"/>
        <item x="786"/>
        <item x="925"/>
        <item x="270"/>
        <item x="709"/>
        <item x="291"/>
        <item x="47"/>
        <item x="673"/>
        <item x="783"/>
        <item x="212"/>
        <item x="293"/>
        <item x="811"/>
        <item x="150"/>
        <item x="59"/>
        <item x="471"/>
        <item x="236"/>
        <item x="651"/>
        <item x="349"/>
        <item x="250"/>
        <item x="415"/>
        <item x="594"/>
        <item x="795"/>
        <item x="735"/>
        <item x="975"/>
        <item x="488"/>
        <item x="234"/>
        <item x="823"/>
        <item x="943"/>
        <item x="78"/>
        <item x="39"/>
        <item x="255"/>
        <item x="7"/>
        <item x="828"/>
        <item x="271"/>
        <item x="578"/>
        <item x="669"/>
        <item x="153"/>
        <item x="34"/>
        <item x="5"/>
        <item x="194"/>
        <item x="170"/>
        <item x="870"/>
        <item x="287"/>
        <item x="627"/>
        <item x="702"/>
        <item x="505"/>
        <item x="876"/>
        <item x="213"/>
        <item x="694"/>
        <item x="173"/>
        <item x="113"/>
        <item x="750"/>
        <item x="240"/>
        <item x="703"/>
        <item x="364"/>
        <item x="481"/>
        <item x="68"/>
        <item x="33"/>
        <item x="52"/>
        <item x="614"/>
        <item x="961"/>
        <item x="761"/>
        <item x="322"/>
        <item x="933"/>
        <item x="677"/>
        <item x="192"/>
        <item x="690"/>
        <item x="946"/>
        <item x="381"/>
        <item x="359"/>
        <item x="706"/>
        <item x="307"/>
        <item x="720"/>
        <item x="421"/>
        <item x="667"/>
        <item x="169"/>
        <item x="726"/>
        <item x="130"/>
        <item x="249"/>
        <item x="666"/>
        <item x="499"/>
        <item x="776"/>
        <item x="6"/>
        <item x="230"/>
        <item x="411"/>
        <item x="871"/>
        <item x="960"/>
        <item x="679"/>
        <item x="872"/>
        <item x="38"/>
        <item x="296"/>
        <item x="399"/>
        <item x="216"/>
        <item x="869"/>
        <item x="757"/>
        <item x="65"/>
        <item x="508"/>
        <item x="51"/>
        <item x="361"/>
        <item x="456"/>
        <item x="127"/>
        <item x="446"/>
        <item x="729"/>
        <item x="913"/>
        <item x="379"/>
        <item x="348"/>
        <item x="624"/>
        <item x="897"/>
        <item x="282"/>
        <item x="909"/>
        <item x="939"/>
        <item x="895"/>
        <item x="55"/>
        <item x="332"/>
        <item x="577"/>
        <item x="835"/>
        <item x="159"/>
        <item x="930"/>
        <item x="182"/>
        <item x="875"/>
        <item x="527"/>
        <item x="209"/>
        <item x="500"/>
        <item x="538"/>
        <item x="924"/>
        <item x="940"/>
        <item x="917"/>
        <item x="785"/>
        <item x="100"/>
        <item x="101"/>
        <item x="129"/>
        <item x="501"/>
        <item x="937"/>
        <item x="84"/>
        <item x="189"/>
        <item x="286"/>
        <item x="341"/>
        <item x="226"/>
        <item x="522"/>
        <item x="35"/>
        <item x="789"/>
        <item x="492"/>
        <item x="532"/>
        <item x="542"/>
        <item x="759"/>
        <item x="619"/>
        <item x="360"/>
        <item x="339"/>
        <item x="367"/>
        <item x="773"/>
        <item x="363"/>
        <item x="919"/>
        <item x="87"/>
        <item x="756"/>
        <item x="400"/>
        <item x="534"/>
        <item x="112"/>
        <item x="585"/>
        <item x="604"/>
        <item x="343"/>
        <item x="382"/>
        <item x="842"/>
        <item x="229"/>
        <item x="188"/>
        <item x="340"/>
        <item x="119"/>
        <item x="691"/>
        <item x="22"/>
        <item x="333"/>
        <item x="281"/>
        <item x="858"/>
        <item x="613"/>
        <item x="844"/>
        <item x="204"/>
        <item x="56"/>
        <item x="576"/>
        <item x="556"/>
        <item x="453"/>
        <item x="712"/>
        <item x="525"/>
        <item x="571"/>
        <item x="210"/>
        <item x="941"/>
        <item x="496"/>
        <item x="494"/>
        <item x="826"/>
        <item x="292"/>
        <item x="879"/>
        <item x="692"/>
        <item x="647"/>
        <item x="799"/>
        <item x="345"/>
        <item x="193"/>
        <item x="260"/>
        <item x="699"/>
        <item x="911"/>
        <item x="117"/>
        <item x="784"/>
        <item x="277"/>
        <item x="579"/>
        <item x="318"/>
        <item x="685"/>
        <item x="375"/>
        <item x="659"/>
        <item x="969"/>
        <item x="440"/>
        <item x="698"/>
        <item x="374"/>
        <item x="308"/>
        <item x="451"/>
        <item x="305"/>
        <item x="272"/>
        <item x="958"/>
        <item x="19"/>
        <item x="434"/>
        <item x="336"/>
        <item x="668"/>
        <item x="644"/>
        <item x="455"/>
        <item x="196"/>
        <item x="671"/>
        <item x="94"/>
        <item x="214"/>
        <item x="774"/>
        <item x="334"/>
        <item x="433"/>
        <item x="20"/>
        <item x="144"/>
        <item x="543"/>
        <item x="330"/>
        <item x="483"/>
        <item x="707"/>
        <item x="31"/>
        <item x="10"/>
        <item x="523"/>
        <item x="781"/>
        <item x="478"/>
        <item x="297"/>
        <item x="435"/>
        <item x="294"/>
        <item x="443"/>
        <item x="466"/>
        <item x="529"/>
        <item x="88"/>
        <item x="681"/>
        <item x="53"/>
        <item x="938"/>
        <item x="444"/>
        <item x="402"/>
        <item x="716"/>
        <item x="429"/>
        <item x="524"/>
        <item x="598"/>
        <item x="180"/>
        <item x="815"/>
        <item x="798"/>
        <item x="460"/>
        <item x="645"/>
        <item x="145"/>
        <item x="745"/>
        <item x="441"/>
        <item x="93"/>
        <item x="231"/>
        <item x="617"/>
        <item x="171"/>
        <item x="346"/>
        <item x="181"/>
        <item x="158"/>
        <item x="396"/>
        <item x="482"/>
        <item x="389"/>
        <item x="18"/>
        <item x="503"/>
        <item x="597"/>
        <item x="120"/>
        <item x="708"/>
        <item x="58"/>
        <item x="329"/>
        <item x="800"/>
        <item x="469"/>
        <item x="25"/>
        <item x="956"/>
        <item x="405"/>
        <item x="406"/>
        <item x="387"/>
        <item x="670"/>
        <item x="568"/>
        <item x="951"/>
        <item x="164"/>
        <item x="906"/>
        <item x="331"/>
        <item x="352"/>
        <item x="243"/>
        <item x="873"/>
        <item x="898"/>
        <item x="964"/>
        <item x="300"/>
        <item x="320"/>
        <item x="439"/>
        <item x="211"/>
        <item x="632"/>
        <item x="358"/>
        <item x="428"/>
        <item x="365"/>
        <item x="246"/>
        <item x="856"/>
        <item x="390"/>
        <item x="497"/>
        <item x="860"/>
        <item x="218"/>
        <item x="350"/>
        <item x="393"/>
        <item x="280"/>
        <item x="283"/>
        <item x="110"/>
        <item x="161"/>
        <item x="861"/>
        <item x="894"/>
        <item x="607"/>
        <item x="672"/>
        <item x="403"/>
        <item x="915"/>
        <item x="721"/>
        <item x="816"/>
        <item x="596"/>
        <item x="316"/>
        <item x="465"/>
        <item x="427"/>
        <item x="487"/>
        <item x="167"/>
        <item x="780"/>
        <item x="0"/>
        <item x="311"/>
        <item x="278"/>
        <item x="714"/>
        <item x="555"/>
        <item x="422"/>
        <item x="45"/>
        <item x="378"/>
        <item x="474"/>
        <item x="315"/>
        <item x="14"/>
        <item x="252"/>
        <item x="558"/>
        <item x="259"/>
        <item x="373"/>
        <item x="767"/>
        <item x="198"/>
        <item x="802"/>
        <item x="190"/>
        <item x="528"/>
        <item x="114"/>
        <item x="327"/>
        <item x="50"/>
        <item x="688"/>
        <item x="79"/>
        <item x="247"/>
        <item x="609"/>
        <item x="337"/>
        <item x="978"/>
        <item x="479"/>
        <item x="185"/>
        <item x="485"/>
        <item x="581"/>
        <item x="850"/>
        <item x="13"/>
        <item x="731"/>
        <item x="689"/>
        <item x="560"/>
        <item x="115"/>
        <item x="752"/>
        <item x="83"/>
        <item x="241"/>
        <item x="295"/>
        <item x="976"/>
        <item x="77"/>
        <item x="601"/>
        <item x="437"/>
        <item x="790"/>
        <item x="245"/>
        <item x="877"/>
        <item x="148"/>
        <item x="41"/>
        <item x="902"/>
        <item x="544"/>
        <item x="732"/>
        <item x="834"/>
        <item x="301"/>
        <item x="335"/>
        <item x="833"/>
        <item x="398"/>
        <item x="425"/>
        <item x="656"/>
        <item x="324"/>
        <item x="907"/>
        <item x="134"/>
        <item x="932"/>
        <item x="934"/>
        <item x="203"/>
        <item x="838"/>
        <item x="477"/>
        <item x="146"/>
        <item x="959"/>
        <item x="136"/>
        <item x="746"/>
        <item x="605"/>
        <item x="736"/>
        <item x="741"/>
        <item x="754"/>
        <item x="256"/>
        <item x="592"/>
        <item x="968"/>
        <item x="154"/>
        <item x="383"/>
        <item x="366"/>
        <item x="197"/>
        <item x="493"/>
        <item x="606"/>
        <item x="889"/>
        <item x="419"/>
        <item x="147"/>
        <item x="764"/>
        <item x="386"/>
        <item x="447"/>
        <item x="881"/>
        <item x="141"/>
        <item x="62"/>
        <item x="916"/>
        <item x="847"/>
        <item x="979"/>
        <item x="232"/>
        <item x="257"/>
        <item x="274"/>
        <item x="238"/>
        <item x="866"/>
        <item x="36"/>
        <item x="748"/>
        <item x="454"/>
        <item x="289"/>
        <item x="863"/>
        <item x="928"/>
        <item x="974"/>
        <item x="896"/>
        <item x="76"/>
        <item x="258"/>
        <item x="347"/>
        <item x="713"/>
        <item x="887"/>
        <item x="814"/>
        <item x="223"/>
        <item x="498"/>
        <item x="40"/>
        <item x="954"/>
        <item x="42"/>
        <item x="89"/>
        <item x="846"/>
        <item x="30"/>
        <item x="541"/>
        <item x="701"/>
        <item x="824"/>
        <item x="599"/>
        <item x="208"/>
        <item x="96"/>
        <item x="225"/>
        <item x="865"/>
        <item x="765"/>
        <item x="771"/>
        <item x="730"/>
        <item x="111"/>
        <item x="682"/>
        <item x="516"/>
        <item x="878"/>
        <item x="104"/>
        <item x="572"/>
        <item x="418"/>
        <item x="253"/>
        <item x="357"/>
        <item x="362"/>
        <item x="884"/>
        <item x="199"/>
        <item x="140"/>
        <item x="202"/>
        <item x="593"/>
        <item x="408"/>
        <item x="642"/>
        <item x="810"/>
        <item x="468"/>
        <item x="178"/>
        <item x="931"/>
        <item x="302"/>
        <item x="217"/>
        <item x="269"/>
        <item x="143"/>
        <item x="649"/>
        <item x="106"/>
        <item x="342"/>
        <item x="903"/>
        <item x="882"/>
        <item x="220"/>
        <item x="588"/>
        <item x="622"/>
        <item x="747"/>
        <item x="626"/>
        <item x="845"/>
        <item x="133"/>
        <item x="763"/>
        <item x="118"/>
        <item x="97"/>
        <item x="612"/>
        <item x="822"/>
        <item x="306"/>
        <item x="122"/>
        <item x="514"/>
        <item x="69"/>
        <item x="779"/>
        <item x="654"/>
        <item x="73"/>
        <item x="457"/>
        <item x="325"/>
        <item x="890"/>
        <item x="275"/>
        <item x="124"/>
        <item x="86"/>
        <item x="973"/>
        <item x="751"/>
        <item x="484"/>
        <item x="693"/>
        <item x="205"/>
        <item x="26"/>
        <item x="17"/>
        <item x="123"/>
        <item x="436"/>
        <item x="719"/>
        <item x="631"/>
        <item x="450"/>
        <item x="888"/>
        <item x="540"/>
        <item x="777"/>
        <item x="738"/>
        <item x="458"/>
        <item x="813"/>
        <item x="955"/>
        <item x="899"/>
        <item x="502"/>
        <item x="778"/>
        <item x="504"/>
        <item x="971"/>
        <item x="57"/>
        <item x="125"/>
        <item x="821"/>
        <item x="830"/>
        <item x="8"/>
        <item x="298"/>
        <item x="710"/>
        <item x="392"/>
        <item x="537"/>
        <item x="819"/>
        <item t="default"/>
      </items>
    </pivotField>
    <pivotField dataField="1" showAll="0">
      <items count="993">
        <item x="561"/>
        <item x="276"/>
        <item x="810"/>
        <item x="251"/>
        <item x="267"/>
        <item x="242"/>
        <item x="792"/>
        <item x="797"/>
        <item x="745"/>
        <item x="162"/>
        <item x="975"/>
        <item x="23"/>
        <item x="613"/>
        <item x="586"/>
        <item x="355"/>
        <item x="936"/>
        <item x="197"/>
        <item x="835"/>
        <item x="514"/>
        <item x="254"/>
        <item x="16"/>
        <item x="683"/>
        <item x="958"/>
        <item x="133"/>
        <item x="874"/>
        <item x="898"/>
        <item x="639"/>
        <item x="967"/>
        <item x="763"/>
        <item x="223"/>
        <item x="82"/>
        <item x="168"/>
        <item x="582"/>
        <item x="667"/>
        <item x="760"/>
        <item x="439"/>
        <item x="391"/>
        <item x="650"/>
        <item x="474"/>
        <item x="566"/>
        <item x="698"/>
        <item x="1"/>
        <item x="158"/>
        <item x="856"/>
        <item x="323"/>
        <item x="265"/>
        <item x="156"/>
        <item x="395"/>
        <item x="767"/>
        <item x="225"/>
        <item x="774"/>
        <item x="408"/>
        <item x="845"/>
        <item x="552"/>
        <item x="83"/>
        <item x="934"/>
        <item x="65"/>
        <item x="721"/>
        <item x="509"/>
        <item x="824"/>
        <item x="72"/>
        <item x="370"/>
        <item x="537"/>
        <item x="833"/>
        <item x="106"/>
        <item x="209"/>
        <item x="959"/>
        <item x="547"/>
        <item x="907"/>
        <item x="713"/>
        <item x="266"/>
        <item x="132"/>
        <item x="108"/>
        <item x="179"/>
        <item x="911"/>
        <item x="465"/>
        <item x="310"/>
        <item x="354"/>
        <item x="589"/>
        <item x="521"/>
        <item x="460"/>
        <item x="99"/>
        <item x="284"/>
        <item x="765"/>
        <item x="143"/>
        <item x="450"/>
        <item x="775"/>
        <item x="808"/>
        <item x="956"/>
        <item x="401"/>
        <item x="631"/>
        <item x="575"/>
        <item x="933"/>
        <item x="432"/>
        <item x="152"/>
        <item x="523"/>
        <item x="653"/>
        <item x="800"/>
        <item x="961"/>
        <item x="39"/>
        <item x="954"/>
        <item x="255"/>
        <item x="796"/>
        <item x="188"/>
        <item x="34"/>
        <item x="196"/>
        <item x="214"/>
        <item x="304"/>
        <item x="875"/>
        <item x="63"/>
        <item x="385"/>
        <item x="973"/>
        <item x="194"/>
        <item x="244"/>
        <item x="729"/>
        <item x="781"/>
        <item x="682"/>
        <item x="920"/>
        <item x="635"/>
        <item x="793"/>
        <item x="904"/>
        <item x="282"/>
        <item x="68"/>
        <item x="632"/>
        <item x="91"/>
        <item x="211"/>
        <item x="972"/>
        <item x="949"/>
        <item x="48"/>
        <item x="831"/>
        <item x="493"/>
        <item x="377"/>
        <item x="584"/>
        <item x="688"/>
        <item x="926"/>
        <item x="559"/>
        <item x="326"/>
        <item x="190"/>
        <item x="22"/>
        <item x="333"/>
        <item x="678"/>
        <item x="497"/>
        <item x="495"/>
        <item x="449"/>
        <item x="71"/>
        <item x="533"/>
        <item x="248"/>
        <item x="176"/>
        <item x="838"/>
        <item x="272"/>
        <item x="659"/>
        <item x="136"/>
        <item x="636"/>
        <item x="602"/>
        <item x="673"/>
        <item x="434"/>
        <item x="468"/>
        <item x="31"/>
        <item x="380"/>
        <item x="531"/>
        <item x="481"/>
        <item x="600"/>
        <item x="681"/>
        <item x="928"/>
        <item x="328"/>
        <item x="532"/>
        <item x="186"/>
        <item x="805"/>
        <item x="288"/>
        <item x="406"/>
        <item x="407"/>
        <item x="633"/>
        <item x="642"/>
        <item x="446"/>
        <item x="919"/>
        <item x="9"/>
        <item x="862"/>
        <item x="866"/>
        <item x="353"/>
        <item x="246"/>
        <item x="665"/>
        <item x="219"/>
        <item x="697"/>
        <item x="233"/>
        <item x="706"/>
        <item x="851"/>
        <item x="27"/>
        <item x="517"/>
        <item x="951"/>
        <item x="487"/>
        <item x="854"/>
        <item x="92"/>
        <item x="45"/>
        <item x="259"/>
        <item x="200"/>
        <item x="927"/>
        <item x="116"/>
        <item x="756"/>
        <item x="424"/>
        <item x="140"/>
        <item x="41"/>
        <item x="735"/>
        <item x="658"/>
        <item x="553"/>
        <item x="129"/>
        <item x="860"/>
        <item x="279"/>
        <item x="746"/>
        <item x="256"/>
        <item x="383"/>
        <item x="551"/>
        <item x="608"/>
        <item x="896"/>
        <item x="148"/>
        <item x="811"/>
        <item x="321"/>
        <item x="257"/>
        <item x="61"/>
        <item x="814"/>
        <item x="394"/>
        <item x="605"/>
        <item x="216"/>
        <item x="711"/>
        <item x="894"/>
        <item x="823"/>
        <item x="820"/>
        <item x="12"/>
        <item x="892"/>
        <item x="908"/>
        <item x="151"/>
        <item x="28"/>
        <item x="508"/>
        <item x="410"/>
        <item x="846"/>
        <item x="859"/>
        <item x="595"/>
        <item x="409"/>
        <item x="519"/>
        <item x="707"/>
        <item x="623"/>
        <item x="725"/>
        <item x="548"/>
        <item x="743"/>
        <item x="411"/>
        <item x="98"/>
        <item x="44"/>
        <item x="718"/>
        <item x="471"/>
        <item x="74"/>
        <item x="571"/>
        <item x="507"/>
        <item x="125"/>
        <item x="462"/>
        <item x="139"/>
        <item x="890"/>
        <item x="837"/>
        <item x="705"/>
        <item x="506"/>
        <item x="392"/>
        <item x="692"/>
        <item x="676"/>
        <item x="737"/>
        <item x="73"/>
        <item x="131"/>
        <item x="597"/>
        <item x="738"/>
        <item x="104"/>
        <item x="96"/>
        <item x="655"/>
        <item x="604"/>
        <item x="753"/>
        <item x="217"/>
        <item x="522"/>
        <item x="66"/>
        <item x="457"/>
        <item x="662"/>
        <item x="100"/>
        <item x="627"/>
        <item x="989"/>
        <item x="109"/>
        <item x="841"/>
        <item x="529"/>
        <item x="569"/>
        <item x="664"/>
        <item x="103"/>
        <item x="75"/>
        <item x="341"/>
        <item x="944"/>
        <item x="764"/>
        <item x="367"/>
        <item x="54"/>
        <item x="536"/>
        <item x="520"/>
        <item x="689"/>
        <item x="660"/>
        <item x="578"/>
        <item x="290"/>
        <item x="235"/>
        <item x="319"/>
        <item x="666"/>
        <item x="239"/>
        <item x="637"/>
        <item x="262"/>
        <item x="591"/>
        <item x="758"/>
        <item x="618"/>
        <item x="222"/>
        <item x="869"/>
        <item x="181"/>
        <item x="153"/>
        <item x="730"/>
        <item x="405"/>
        <item x="110"/>
        <item x="654"/>
        <item x="415"/>
        <item x="491"/>
        <item x="456"/>
        <item x="198"/>
        <item x="565"/>
        <item x="626"/>
        <item x="47"/>
        <item x="801"/>
        <item x="675"/>
        <item x="788"/>
        <item x="881"/>
        <item x="576"/>
        <item x="749"/>
        <item x="596"/>
        <item x="94"/>
        <item x="231"/>
        <item x="11"/>
        <item x="464"/>
        <item x="93"/>
        <item x="731"/>
        <item x="329"/>
        <item x="470"/>
        <item x="979"/>
        <item x="913"/>
        <item x="984"/>
        <item x="568"/>
        <item x="285"/>
        <item x="4"/>
        <item x="122"/>
        <item x="588"/>
        <item x="368"/>
        <item x="617"/>
        <item x="431"/>
        <item x="809"/>
        <item x="313"/>
        <item x="418"/>
        <item x="679"/>
        <item x="24"/>
        <item x="777"/>
        <item x="955"/>
        <item x="283"/>
        <item x="868"/>
        <item x="554"/>
        <item x="249"/>
        <item x="384"/>
        <item x="744"/>
        <item x="978"/>
        <item x="314"/>
        <item x="787"/>
        <item x="953"/>
        <item x="931"/>
        <item x="115"/>
        <item x="170"/>
        <item x="443"/>
        <item x="178"/>
        <item x="640"/>
        <item x="425"/>
        <item x="312"/>
        <item x="657"/>
        <item x="603"/>
        <item x="727"/>
        <item x="977"/>
        <item x="263"/>
        <item x="925"/>
        <item x="943"/>
        <item x="388"/>
        <item x="264"/>
        <item x="541"/>
        <item x="174"/>
        <item x="750"/>
        <item x="130"/>
        <item x="946"/>
        <item x="85"/>
        <item x="167"/>
        <item x="286"/>
        <item x="638"/>
        <item x="794"/>
        <item x="117"/>
        <item x="680"/>
        <item x="871"/>
        <item x="363"/>
        <item x="757"/>
        <item x="761"/>
        <item x="564"/>
        <item x="587"/>
        <item x="873"/>
        <item x="36"/>
        <item x="382"/>
        <item x="67"/>
        <item x="748"/>
        <item x="843"/>
        <item x="937"/>
        <item x="535"/>
        <item x="641"/>
        <item x="616"/>
        <item x="747"/>
        <item x="921"/>
        <item x="356"/>
        <item x="686"/>
        <item x="210"/>
        <item x="250"/>
        <item x="76"/>
        <item x="628"/>
        <item x="492"/>
        <item x="303"/>
        <item x="733"/>
        <item x="253"/>
        <item x="974"/>
        <item x="962"/>
        <item x="141"/>
        <item x="195"/>
        <item x="469"/>
        <item x="180"/>
        <item x="842"/>
        <item x="427"/>
        <item x="271"/>
        <item x="221"/>
        <item x="220"/>
        <item x="671"/>
        <item x="751"/>
        <item x="850"/>
        <item x="119"/>
        <item x="848"/>
        <item x="202"/>
        <item x="828"/>
        <item x="123"/>
        <item x="877"/>
        <item x="755"/>
        <item x="207"/>
        <item x="883"/>
        <item x="722"/>
        <item x="165"/>
        <item x="567"/>
        <item x="371"/>
        <item x="782"/>
        <item x="742"/>
        <item x="965"/>
        <item x="364"/>
        <item x="52"/>
        <item x="779"/>
        <item x="726"/>
        <item x="473"/>
        <item x="298"/>
        <item x="619"/>
        <item x="528"/>
        <item x="621"/>
        <item x="812"/>
        <item x="663"/>
        <item x="479"/>
        <item x="555"/>
        <item x="511"/>
        <item x="855"/>
        <item x="294"/>
        <item x="512"/>
        <item x="947"/>
        <item x="668"/>
        <item x="500"/>
        <item x="430"/>
        <item x="526"/>
        <item x="957"/>
        <item x="461"/>
        <item x="185"/>
        <item x="146"/>
        <item x="620"/>
        <item x="818"/>
        <item x="736"/>
        <item x="577"/>
        <item x="203"/>
        <item x="166"/>
        <item x="720"/>
        <item x="261"/>
        <item x="3"/>
        <item x="939"/>
        <item x="273"/>
        <item x="159"/>
        <item x="540"/>
        <item x="863"/>
        <item x="932"/>
        <item x="938"/>
        <item x="982"/>
        <item x="592"/>
        <item x="213"/>
        <item x="208"/>
        <item x="237"/>
        <item x="472"/>
        <item x="503"/>
        <item x="917"/>
        <item x="163"/>
        <item x="550"/>
        <item x="15"/>
        <item x="952"/>
        <item x="560"/>
        <item x="369"/>
        <item x="772"/>
        <item x="229"/>
        <item x="815"/>
        <item x="351"/>
        <item x="120"/>
        <item x="193"/>
        <item x="580"/>
        <item x="50"/>
        <item x="80"/>
        <item x="612"/>
        <item x="912"/>
        <item x="5"/>
        <item x="480"/>
        <item x="583"/>
        <item x="734"/>
        <item x="562"/>
        <item x="714"/>
        <item x="295"/>
        <item x="309"/>
        <item x="438"/>
        <item x="453"/>
        <item x="893"/>
        <item x="909"/>
        <item x="301"/>
        <item x="32"/>
        <item x="324"/>
        <item x="861"/>
        <item x="844"/>
        <item x="496"/>
        <item x="887"/>
        <item x="60"/>
        <item x="37"/>
        <item x="799"/>
        <item x="773"/>
        <item x="915"/>
        <item x="29"/>
        <item x="296"/>
        <item x="305"/>
        <item x="741"/>
        <item x="510"/>
        <item x="513"/>
        <item x="361"/>
        <item x="752"/>
        <item x="455"/>
        <item x="732"/>
        <item x="870"/>
        <item x="330"/>
        <item x="127"/>
        <item x="299"/>
        <item x="436"/>
        <item x="89"/>
        <item x="490"/>
        <item x="21"/>
        <item x="349"/>
        <item x="226"/>
        <item x="549"/>
        <item x="184"/>
        <item x="776"/>
        <item x="646"/>
        <item x="685"/>
        <item x="49"/>
        <item x="611"/>
        <item x="924"/>
        <item x="483"/>
        <item x="599"/>
        <item x="614"/>
        <item x="900"/>
        <item x="966"/>
        <item x="813"/>
        <item x="154"/>
        <item x="387"/>
        <item x="768"/>
        <item x="960"/>
        <item x="372"/>
        <item x="622"/>
        <item x="858"/>
        <item x="339"/>
        <item x="306"/>
        <item x="43"/>
        <item x="656"/>
        <item x="644"/>
        <item x="287"/>
        <item x="26"/>
        <item x="400"/>
        <item x="826"/>
        <item x="440"/>
        <item x="376"/>
        <item x="317"/>
        <item x="2"/>
        <item x="945"/>
        <item x="504"/>
        <item x="864"/>
        <item x="86"/>
        <item x="81"/>
        <item x="381"/>
        <item x="454"/>
        <item x="307"/>
        <item x="728"/>
        <item x="648"/>
        <item x="901"/>
        <item x="802"/>
        <item x="950"/>
        <item x="515"/>
        <item x="624"/>
        <item x="878"/>
        <item x="593"/>
        <item x="964"/>
        <item x="277"/>
        <item x="51"/>
        <item x="690"/>
        <item x="585"/>
        <item x="247"/>
        <item x="661"/>
        <item x="780"/>
        <item x="236"/>
        <item x="348"/>
        <item x="538"/>
        <item x="476"/>
        <item x="463"/>
        <item x="55"/>
        <item x="579"/>
        <item x="829"/>
        <item x="79"/>
        <item x="435"/>
        <item x="161"/>
        <item x="421"/>
        <item x="413"/>
        <item x="215"/>
        <item x="834"/>
        <item x="398"/>
        <item x="699"/>
        <item x="426"/>
        <item x="798"/>
        <item x="135"/>
        <item x="709"/>
        <item x="433"/>
        <item x="138"/>
        <item x="172"/>
        <item x="630"/>
        <item x="228"/>
        <item x="155"/>
        <item x="445"/>
        <item x="524"/>
        <item x="268"/>
        <item x="150"/>
        <item x="652"/>
        <item x="240"/>
        <item x="544"/>
        <item x="322"/>
        <item x="344"/>
        <item x="806"/>
        <item x="183"/>
        <item x="396"/>
        <item x="389"/>
        <item x="572"/>
        <item x="771"/>
        <item x="693"/>
        <item x="723"/>
        <item x="986"/>
        <item x="422"/>
        <item x="669"/>
        <item x="171"/>
        <item x="397"/>
        <item x="281"/>
        <item x="791"/>
        <item x="270"/>
        <item x="291"/>
        <item x="46"/>
        <item x="230"/>
        <item x="56"/>
        <item x="399"/>
        <item x="59"/>
        <item x="177"/>
        <item x="976"/>
        <item x="97"/>
        <item x="832"/>
        <item x="447"/>
        <item x="379"/>
        <item x="804"/>
        <item x="189"/>
        <item x="987"/>
        <item x="489"/>
        <item x="940"/>
        <item x="867"/>
        <item x="269"/>
        <item x="7"/>
        <item x="563"/>
        <item x="651"/>
        <item x="902"/>
        <item x="687"/>
        <item x="889"/>
        <item x="477"/>
        <item x="417"/>
        <item x="134"/>
        <item x="615"/>
        <item x="516"/>
        <item x="70"/>
        <item x="784"/>
        <item x="704"/>
        <item x="311"/>
        <item x="278"/>
        <item x="275"/>
        <item x="985"/>
        <item x="485"/>
        <item x="124"/>
        <item x="14"/>
        <item x="114"/>
        <item x="790"/>
        <item x="819"/>
        <item x="906"/>
        <item x="192"/>
        <item x="930"/>
        <item x="33"/>
        <item x="327"/>
        <item x="8"/>
        <item x="64"/>
        <item x="942"/>
        <item x="484"/>
        <item x="825"/>
        <item x="534"/>
        <item x="359"/>
        <item x="78"/>
        <item x="88"/>
        <item x="293"/>
        <item x="795"/>
        <item x="245"/>
        <item x="182"/>
        <item x="416"/>
        <item x="821"/>
        <item x="38"/>
        <item x="803"/>
        <item x="338"/>
        <item x="442"/>
        <item x="941"/>
        <item x="876"/>
        <item x="865"/>
        <item x="205"/>
        <item x="234"/>
        <item x="849"/>
        <item x="128"/>
        <item x="677"/>
        <item x="121"/>
        <item x="980"/>
        <item x="164"/>
        <item x="556"/>
        <item x="672"/>
        <item x="570"/>
        <item x="769"/>
        <item x="292"/>
        <item x="916"/>
        <item x="888"/>
        <item x="243"/>
        <item x="853"/>
        <item x="414"/>
        <item x="701"/>
        <item x="696"/>
        <item x="289"/>
        <item x="702"/>
        <item x="318"/>
        <item x="358"/>
        <item x="429"/>
        <item x="482"/>
        <item x="69"/>
        <item x="899"/>
        <item x="347"/>
        <item x="102"/>
        <item x="502"/>
        <item x="40"/>
        <item x="350"/>
        <item x="817"/>
        <item x="111"/>
        <item x="227"/>
        <item x="830"/>
        <item x="601"/>
        <item x="35"/>
        <item x="19"/>
        <item x="316"/>
        <item x="428"/>
        <item x="770"/>
        <item x="6"/>
        <item x="95"/>
        <item x="412"/>
        <item x="739"/>
        <item x="545"/>
        <item x="201"/>
        <item x="423"/>
        <item x="10"/>
        <item x="762"/>
        <item x="847"/>
        <item x="297"/>
        <item x="530"/>
        <item x="684"/>
        <item x="403"/>
        <item x="857"/>
        <item x="206"/>
        <item x="558"/>
        <item x="948"/>
        <item x="175"/>
        <item x="332"/>
        <item x="754"/>
        <item x="884"/>
        <item x="935"/>
        <item x="649"/>
        <item x="57"/>
        <item x="840"/>
        <item x="58"/>
        <item x="335"/>
        <item x="766"/>
        <item x="882"/>
        <item x="25"/>
        <item x="260"/>
        <item x="501"/>
        <item x="789"/>
        <item x="914"/>
        <item x="581"/>
        <item x="969"/>
        <item x="137"/>
        <item x="375"/>
        <item x="607"/>
        <item x="708"/>
        <item x="880"/>
        <item x="759"/>
        <item x="981"/>
        <item x="191"/>
        <item x="441"/>
        <item x="366"/>
        <item x="970"/>
        <item x="879"/>
        <item x="374"/>
        <item x="308"/>
        <item x="452"/>
        <item x="923"/>
        <item x="778"/>
        <item x="498"/>
        <item x="670"/>
        <item x="274"/>
        <item x="238"/>
        <item x="145"/>
        <item x="258"/>
        <item x="610"/>
        <item x="674"/>
        <item x="466"/>
        <item x="499"/>
        <item x="444"/>
        <item x="467"/>
        <item x="378"/>
        <item x="315"/>
        <item x="527"/>
        <item x="694"/>
        <item x="574"/>
        <item x="929"/>
        <item x="362"/>
        <item x="187"/>
        <item x="346"/>
        <item x="918"/>
        <item x="160"/>
        <item x="101"/>
        <item x="691"/>
        <item x="144"/>
        <item x="629"/>
        <item x="360"/>
        <item x="331"/>
        <item x="839"/>
        <item x="897"/>
        <item x="87"/>
        <item x="113"/>
        <item x="606"/>
        <item x="300"/>
        <item x="343"/>
        <item x="478"/>
        <item x="895"/>
        <item x="147"/>
        <item x="340"/>
        <item x="645"/>
        <item x="712"/>
        <item x="199"/>
        <item x="420"/>
        <item x="525"/>
        <item x="786"/>
        <item x="573"/>
        <item x="212"/>
        <item x="53"/>
        <item x="598"/>
        <item x="488"/>
        <item x="169"/>
        <item x="886"/>
        <item x="557"/>
        <item x="903"/>
        <item x="345"/>
        <item x="475"/>
        <item x="118"/>
        <item x="252"/>
        <item x="717"/>
        <item x="18"/>
        <item x="543"/>
        <item x="13"/>
        <item x="700"/>
        <item x="112"/>
        <item x="885"/>
        <item x="609"/>
        <item x="968"/>
        <item x="336"/>
        <item x="320"/>
        <item x="334"/>
        <item x="20"/>
        <item x="365"/>
        <item x="325"/>
        <item x="594"/>
        <item x="157"/>
        <item x="402"/>
        <item x="719"/>
        <item x="451"/>
        <item x="971"/>
        <item x="404"/>
        <item x="922"/>
        <item x="386"/>
        <item x="783"/>
        <item x="983"/>
        <item x="448"/>
        <item x="785"/>
        <item x="991"/>
        <item x="716"/>
        <item x="173"/>
        <item x="539"/>
        <item x="373"/>
        <item x="505"/>
        <item x="710"/>
        <item x="337"/>
        <item x="715"/>
        <item x="224"/>
        <item x="352"/>
        <item x="42"/>
        <item x="90"/>
        <item x="905"/>
        <item x="84"/>
        <item x="703"/>
        <item x="149"/>
        <item x="105"/>
        <item x="546"/>
        <item x="891"/>
        <item x="390"/>
        <item x="643"/>
        <item x="816"/>
        <item x="218"/>
        <item x="647"/>
        <item x="393"/>
        <item x="280"/>
        <item x="740"/>
        <item x="724"/>
        <item x="822"/>
        <item x="494"/>
        <item x="0"/>
        <item x="437"/>
        <item x="142"/>
        <item x="634"/>
        <item x="232"/>
        <item x="459"/>
        <item x="807"/>
        <item x="126"/>
        <item x="990"/>
        <item x="77"/>
        <item x="486"/>
        <item x="241"/>
        <item x="988"/>
        <item x="963"/>
        <item x="30"/>
        <item x="357"/>
        <item x="204"/>
        <item x="302"/>
        <item x="107"/>
        <item x="910"/>
        <item x="62"/>
        <item x="458"/>
        <item x="17"/>
        <item x="542"/>
        <item x="827"/>
        <item x="836"/>
        <item x="852"/>
        <item x="872"/>
        <item x="518"/>
        <item x="419"/>
        <item x="342"/>
        <item x="590"/>
        <item x="625"/>
        <item x="695"/>
        <item t="default"/>
      </items>
    </pivotField>
  </pivotFields>
  <rowFields count="1">
    <field x="2"/>
  </rowFields>
  <rowItems count="6">
    <i>
      <x/>
    </i>
    <i>
      <x v="1"/>
    </i>
    <i>
      <x v="2"/>
    </i>
    <i>
      <x v="3"/>
    </i>
    <i>
      <x v="4"/>
    </i>
    <i t="grand">
      <x/>
    </i>
  </rowItems>
  <colFields count="1">
    <field x="0"/>
  </colFields>
  <colItems count="6">
    <i>
      <x/>
    </i>
    <i>
      <x v="1"/>
    </i>
    <i>
      <x v="2"/>
    </i>
    <i>
      <x v="3"/>
    </i>
    <i>
      <x v="4"/>
    </i>
    <i t="grand">
      <x/>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8F632B-BDD4-4F2A-B694-BB0A369D9BB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C22" firstHeaderRow="0" firstDataRow="1" firstDataCol="1"/>
  <pivotFields count="7">
    <pivotField axis="axisRow" showAll="0">
      <items count="6">
        <item x="1"/>
        <item x="3"/>
        <item x="2"/>
        <item x="0"/>
        <item x="4"/>
        <item t="default"/>
      </items>
    </pivotField>
    <pivotField showAll="0"/>
    <pivotField showAll="0"/>
    <pivotField showAll="0"/>
    <pivotField dataField="1" showAll="0"/>
    <pivotField showAll="0">
      <items count="981">
        <item x="927"/>
        <item x="473"/>
        <item x="23"/>
        <item x="82"/>
        <item x="559"/>
        <item x="610"/>
        <item x="391"/>
        <item x="242"/>
        <item x="105"/>
        <item x="276"/>
        <item x="805"/>
        <item x="438"/>
        <item x="207"/>
        <item x="521"/>
        <item x="160"/>
        <item x="251"/>
        <item x="949"/>
        <item x="267"/>
        <item x="535"/>
        <item x="755"/>
        <item x="355"/>
        <item x="868"/>
        <item x="63"/>
        <item x="385"/>
        <item x="829"/>
        <item x="354"/>
        <item x="827"/>
        <item x="770"/>
        <item x="70"/>
        <item x="900"/>
        <item x="224"/>
        <item x="531"/>
        <item x="377"/>
        <item x="248"/>
        <item x="16"/>
        <item x="676"/>
        <item x="174"/>
        <item x="696"/>
        <item x="657"/>
        <item x="957"/>
        <item x="762"/>
        <item x="266"/>
        <item x="841"/>
        <item x="787"/>
        <item x="718"/>
        <item x="806"/>
        <item x="817"/>
        <item x="641"/>
        <item x="151"/>
        <item x="629"/>
        <item x="840"/>
        <item x="825"/>
        <item x="792"/>
        <item x="740"/>
        <item x="1"/>
        <item x="557"/>
        <item x="883"/>
        <item x="304"/>
        <item x="107"/>
        <item x="920"/>
        <item x="901"/>
        <item x="72"/>
        <item x="423"/>
        <item x="519"/>
        <item x="132"/>
        <item x="98"/>
        <item x="551"/>
        <item x="722"/>
        <item x="867"/>
        <item x="947"/>
        <item x="638"/>
        <item x="926"/>
        <item x="885"/>
        <item x="64"/>
        <item x="28"/>
        <item x="520"/>
        <item x="852"/>
        <item x="963"/>
        <item x="517"/>
        <item x="945"/>
        <item x="660"/>
        <item x="222"/>
        <item x="658"/>
        <item x="108"/>
        <item x="445"/>
        <item x="138"/>
        <item x="549"/>
        <item x="448"/>
        <item x="9"/>
        <item x="166"/>
        <item x="545"/>
        <item x="749"/>
        <item x="467"/>
        <item x="290"/>
        <item x="380"/>
        <item x="319"/>
        <item x="636"/>
        <item x="684"/>
        <item x="67"/>
        <item x="615"/>
        <item x="530"/>
        <item x="288"/>
        <item x="803"/>
        <item x="972"/>
        <item x="490"/>
        <item x="912"/>
        <item x="95"/>
        <item x="326"/>
        <item x="602"/>
        <item x="368"/>
        <item x="156"/>
        <item x="855"/>
        <item x="313"/>
        <item x="99"/>
        <item x="409"/>
        <item x="952"/>
        <item x="92"/>
        <item x="791"/>
        <item x="620"/>
        <item x="410"/>
        <item x="312"/>
        <item x="743"/>
        <item x="584"/>
        <item x="139"/>
        <item x="831"/>
        <item x="417"/>
        <item x="244"/>
        <item x="518"/>
        <item x="172"/>
        <item x="279"/>
        <item x="687"/>
        <item x="734"/>
        <item x="195"/>
        <item x="507"/>
        <item x="574"/>
        <item x="818"/>
        <item x="262"/>
        <item x="370"/>
        <item x="837"/>
        <item x="512"/>
        <item x="12"/>
        <item x="254"/>
        <item x="950"/>
        <item x="353"/>
        <item x="48"/>
        <item x="414"/>
        <item x="102"/>
        <item x="663"/>
        <item x="563"/>
        <item x="695"/>
        <item x="582"/>
        <item x="686"/>
        <item x="384"/>
        <item x="569"/>
        <item x="486"/>
        <item x="874"/>
        <item x="634"/>
        <item x="314"/>
        <item x="680"/>
        <item x="176"/>
        <item x="472"/>
        <item x="356"/>
        <item x="424"/>
        <item x="904"/>
        <item x="967"/>
        <item x="595"/>
        <item x="285"/>
        <item x="426"/>
        <item x="586"/>
        <item x="812"/>
        <item x="219"/>
        <item x="430"/>
        <item x="727"/>
        <item x="804"/>
        <item x="575"/>
        <item x="401"/>
        <item x="891"/>
        <item x="321"/>
        <item x="135"/>
        <item x="635"/>
        <item x="623"/>
        <item x="394"/>
        <item x="603"/>
        <item x="640"/>
        <item x="431"/>
        <item x="848"/>
        <item x="923"/>
        <item x="206"/>
        <item x="758"/>
        <item x="480"/>
        <item x="506"/>
        <item x="655"/>
        <item x="921"/>
        <item x="724"/>
        <item x="54"/>
        <item x="953"/>
        <item x="705"/>
        <item x="965"/>
        <item x="186"/>
        <item x="227"/>
        <item x="918"/>
        <item x="715"/>
        <item x="165"/>
        <item x="81"/>
        <item x="565"/>
        <item x="121"/>
        <item x="239"/>
        <item x="273"/>
        <item x="886"/>
        <item x="723"/>
        <item x="589"/>
        <item x="580"/>
        <item x="772"/>
        <item x="66"/>
        <item x="237"/>
        <item x="744"/>
        <item x="665"/>
        <item x="233"/>
        <item x="733"/>
        <item x="548"/>
        <item x="533"/>
        <item x="37"/>
        <item x="653"/>
        <item x="948"/>
        <item x="404"/>
        <item x="652"/>
        <item x="75"/>
        <item x="633"/>
        <item x="788"/>
        <item x="977"/>
        <item x="648"/>
        <item x="299"/>
        <item x="717"/>
        <item x="309"/>
        <item x="90"/>
        <item x="567"/>
        <item x="128"/>
        <item x="163"/>
        <item x="371"/>
        <item x="970"/>
        <item x="495"/>
        <item x="880"/>
        <item x="728"/>
        <item x="74"/>
        <item x="637"/>
        <item x="910"/>
        <item x="564"/>
        <item x="864"/>
        <item x="753"/>
        <item x="510"/>
        <item x="511"/>
        <item x="4"/>
        <item x="820"/>
        <item x="369"/>
        <item x="317"/>
        <item x="2"/>
        <item x="936"/>
        <item x="849"/>
        <item x="24"/>
        <item x="323"/>
        <item x="742"/>
        <item x="80"/>
        <item x="265"/>
        <item x="155"/>
        <item x="646"/>
        <item x="235"/>
        <item x="683"/>
        <item x="552"/>
        <item x="201"/>
        <item x="491"/>
        <item x="395"/>
        <item x="962"/>
        <item x="966"/>
        <item x="854"/>
        <item x="782"/>
        <item x="221"/>
        <item x="546"/>
        <item x="179"/>
        <item x="739"/>
        <item x="769"/>
        <item x="775"/>
        <item x="152"/>
        <item x="843"/>
        <item x="929"/>
        <item x="44"/>
        <item x="407"/>
        <item x="470"/>
        <item x="908"/>
        <item x="839"/>
        <item x="29"/>
        <item x="639"/>
        <item x="461"/>
        <item x="109"/>
        <item x="832"/>
        <item x="550"/>
        <item x="462"/>
        <item x="600"/>
        <item x="616"/>
        <item x="793"/>
        <item x="674"/>
        <item x="264"/>
        <item x="137"/>
        <item x="809"/>
        <item x="351"/>
        <item x="796"/>
        <item x="553"/>
        <item x="509"/>
        <item x="797"/>
        <item x="228"/>
        <item x="513"/>
        <item x="621"/>
        <item x="268"/>
        <item x="103"/>
        <item x="591"/>
        <item x="678"/>
        <item x="608"/>
        <item x="452"/>
        <item x="11"/>
        <item x="328"/>
        <item x="463"/>
        <item x="71"/>
        <item x="184"/>
        <item x="766"/>
        <item x="611"/>
        <item x="397"/>
        <item x="475"/>
        <item x="630"/>
        <item x="851"/>
        <item x="43"/>
        <item x="914"/>
        <item x="643"/>
        <item x="261"/>
        <item x="566"/>
        <item x="60"/>
        <item x="175"/>
        <item x="768"/>
        <item x="412"/>
        <item x="625"/>
        <item x="3"/>
        <item x="376"/>
        <item x="303"/>
        <item x="697"/>
        <item x="157"/>
        <item x="859"/>
        <item x="857"/>
        <item x="662"/>
        <item x="590"/>
        <item x="85"/>
        <item x="836"/>
        <item x="561"/>
        <item x="725"/>
        <item x="711"/>
        <item x="704"/>
        <item x="935"/>
        <item x="149"/>
        <item x="650"/>
        <item x="27"/>
        <item x="200"/>
        <item x="515"/>
        <item x="942"/>
        <item x="91"/>
        <item x="489"/>
        <item x="15"/>
        <item x="21"/>
        <item x="131"/>
        <item x="570"/>
        <item x="547"/>
        <item x="944"/>
        <item x="191"/>
        <item x="177"/>
        <item x="168"/>
        <item x="583"/>
        <item x="49"/>
        <item x="46"/>
        <item x="905"/>
        <item x="442"/>
        <item x="536"/>
        <item x="526"/>
        <item x="618"/>
        <item x="661"/>
        <item x="664"/>
        <item x="464"/>
        <item x="893"/>
        <item x="807"/>
        <item x="310"/>
        <item x="372"/>
        <item x="420"/>
        <item x="587"/>
        <item x="459"/>
        <item x="187"/>
        <item x="32"/>
        <item x="263"/>
        <item x="338"/>
        <item x="183"/>
        <item x="284"/>
        <item x="388"/>
        <item x="760"/>
        <item x="853"/>
        <item x="432"/>
        <item x="142"/>
        <item x="539"/>
        <item x="862"/>
        <item x="476"/>
        <item x="675"/>
        <item x="416"/>
        <item x="449"/>
        <item x="794"/>
        <item x="162"/>
        <item x="554"/>
        <item x="116"/>
        <item x="413"/>
        <item x="562"/>
        <item x="737"/>
        <item x="344"/>
        <item x="628"/>
        <item x="61"/>
        <item x="801"/>
        <item x="922"/>
        <item x="700"/>
        <item x="808"/>
        <item x="215"/>
        <item x="892"/>
        <item x="573"/>
        <item x="126"/>
        <item x="786"/>
        <item x="925"/>
        <item x="270"/>
        <item x="709"/>
        <item x="291"/>
        <item x="47"/>
        <item x="673"/>
        <item x="783"/>
        <item x="212"/>
        <item x="293"/>
        <item x="811"/>
        <item x="150"/>
        <item x="59"/>
        <item x="471"/>
        <item x="236"/>
        <item x="651"/>
        <item x="349"/>
        <item x="250"/>
        <item x="415"/>
        <item x="594"/>
        <item x="795"/>
        <item x="735"/>
        <item x="975"/>
        <item x="488"/>
        <item x="234"/>
        <item x="823"/>
        <item x="943"/>
        <item x="78"/>
        <item x="39"/>
        <item x="255"/>
        <item x="7"/>
        <item x="828"/>
        <item x="271"/>
        <item x="578"/>
        <item x="669"/>
        <item x="153"/>
        <item x="34"/>
        <item x="5"/>
        <item x="194"/>
        <item x="170"/>
        <item x="870"/>
        <item x="287"/>
        <item x="627"/>
        <item x="702"/>
        <item x="505"/>
        <item x="876"/>
        <item x="213"/>
        <item x="694"/>
        <item x="173"/>
        <item x="113"/>
        <item x="750"/>
        <item x="240"/>
        <item x="703"/>
        <item x="364"/>
        <item x="481"/>
        <item x="68"/>
        <item x="33"/>
        <item x="52"/>
        <item x="614"/>
        <item x="961"/>
        <item x="761"/>
        <item x="322"/>
        <item x="933"/>
        <item x="677"/>
        <item x="192"/>
        <item x="690"/>
        <item x="946"/>
        <item x="381"/>
        <item x="359"/>
        <item x="706"/>
        <item x="307"/>
        <item x="720"/>
        <item x="421"/>
        <item x="667"/>
        <item x="169"/>
        <item x="726"/>
        <item x="130"/>
        <item x="249"/>
        <item x="666"/>
        <item x="499"/>
        <item x="776"/>
        <item x="6"/>
        <item x="230"/>
        <item x="411"/>
        <item x="871"/>
        <item x="960"/>
        <item x="679"/>
        <item x="872"/>
        <item x="38"/>
        <item x="296"/>
        <item x="399"/>
        <item x="216"/>
        <item x="869"/>
        <item x="757"/>
        <item x="65"/>
        <item x="508"/>
        <item x="51"/>
        <item x="361"/>
        <item x="456"/>
        <item x="127"/>
        <item x="446"/>
        <item x="729"/>
        <item x="913"/>
        <item x="379"/>
        <item x="348"/>
        <item x="624"/>
        <item x="897"/>
        <item x="282"/>
        <item x="909"/>
        <item x="939"/>
        <item x="895"/>
        <item x="55"/>
        <item x="332"/>
        <item x="577"/>
        <item x="835"/>
        <item x="159"/>
        <item x="930"/>
        <item x="182"/>
        <item x="875"/>
        <item x="527"/>
        <item x="209"/>
        <item x="500"/>
        <item x="538"/>
        <item x="924"/>
        <item x="940"/>
        <item x="917"/>
        <item x="785"/>
        <item x="100"/>
        <item x="101"/>
        <item x="129"/>
        <item x="501"/>
        <item x="937"/>
        <item x="84"/>
        <item x="189"/>
        <item x="286"/>
        <item x="341"/>
        <item x="226"/>
        <item x="522"/>
        <item x="35"/>
        <item x="789"/>
        <item x="492"/>
        <item x="532"/>
        <item x="542"/>
        <item x="759"/>
        <item x="619"/>
        <item x="360"/>
        <item x="339"/>
        <item x="367"/>
        <item x="773"/>
        <item x="363"/>
        <item x="919"/>
        <item x="87"/>
        <item x="756"/>
        <item x="400"/>
        <item x="534"/>
        <item x="112"/>
        <item x="585"/>
        <item x="604"/>
        <item x="343"/>
        <item x="382"/>
        <item x="842"/>
        <item x="229"/>
        <item x="188"/>
        <item x="340"/>
        <item x="119"/>
        <item x="691"/>
        <item x="22"/>
        <item x="333"/>
        <item x="281"/>
        <item x="858"/>
        <item x="613"/>
        <item x="844"/>
        <item x="204"/>
        <item x="56"/>
        <item x="576"/>
        <item x="556"/>
        <item x="453"/>
        <item x="712"/>
        <item x="525"/>
        <item x="571"/>
        <item x="210"/>
        <item x="941"/>
        <item x="496"/>
        <item x="494"/>
        <item x="826"/>
        <item x="292"/>
        <item x="879"/>
        <item x="692"/>
        <item x="647"/>
        <item x="799"/>
        <item x="345"/>
        <item x="193"/>
        <item x="260"/>
        <item x="699"/>
        <item x="911"/>
        <item x="117"/>
        <item x="784"/>
        <item x="277"/>
        <item x="579"/>
        <item x="318"/>
        <item x="685"/>
        <item x="375"/>
        <item x="659"/>
        <item x="969"/>
        <item x="440"/>
        <item x="698"/>
        <item x="374"/>
        <item x="308"/>
        <item x="451"/>
        <item x="305"/>
        <item x="272"/>
        <item x="958"/>
        <item x="19"/>
        <item x="434"/>
        <item x="336"/>
        <item x="668"/>
        <item x="644"/>
        <item x="455"/>
        <item x="196"/>
        <item x="671"/>
        <item x="94"/>
        <item x="214"/>
        <item x="774"/>
        <item x="334"/>
        <item x="433"/>
        <item x="20"/>
        <item x="144"/>
        <item x="543"/>
        <item x="330"/>
        <item x="483"/>
        <item x="707"/>
        <item x="31"/>
        <item x="10"/>
        <item x="523"/>
        <item x="781"/>
        <item x="478"/>
        <item x="297"/>
        <item x="435"/>
        <item x="294"/>
        <item x="443"/>
        <item x="466"/>
        <item x="529"/>
        <item x="88"/>
        <item x="681"/>
        <item x="53"/>
        <item x="938"/>
        <item x="444"/>
        <item x="402"/>
        <item x="716"/>
        <item x="429"/>
        <item x="524"/>
        <item x="598"/>
        <item x="180"/>
        <item x="815"/>
        <item x="798"/>
        <item x="460"/>
        <item x="645"/>
        <item x="145"/>
        <item x="745"/>
        <item x="441"/>
        <item x="93"/>
        <item x="231"/>
        <item x="617"/>
        <item x="171"/>
        <item x="346"/>
        <item x="181"/>
        <item x="158"/>
        <item x="396"/>
        <item x="482"/>
        <item x="389"/>
        <item x="18"/>
        <item x="503"/>
        <item x="597"/>
        <item x="120"/>
        <item x="708"/>
        <item x="58"/>
        <item x="329"/>
        <item x="800"/>
        <item x="469"/>
        <item x="25"/>
        <item x="956"/>
        <item x="405"/>
        <item x="406"/>
        <item x="387"/>
        <item x="670"/>
        <item x="568"/>
        <item x="951"/>
        <item x="164"/>
        <item x="906"/>
        <item x="331"/>
        <item x="352"/>
        <item x="243"/>
        <item x="873"/>
        <item x="898"/>
        <item x="964"/>
        <item x="300"/>
        <item x="320"/>
        <item x="439"/>
        <item x="211"/>
        <item x="632"/>
        <item x="358"/>
        <item x="428"/>
        <item x="365"/>
        <item x="246"/>
        <item x="856"/>
        <item x="390"/>
        <item x="497"/>
        <item x="860"/>
        <item x="218"/>
        <item x="350"/>
        <item x="393"/>
        <item x="280"/>
        <item x="283"/>
        <item x="110"/>
        <item x="161"/>
        <item x="861"/>
        <item x="894"/>
        <item x="607"/>
        <item x="672"/>
        <item x="403"/>
        <item x="915"/>
        <item x="721"/>
        <item x="816"/>
        <item x="596"/>
        <item x="316"/>
        <item x="465"/>
        <item x="427"/>
        <item x="487"/>
        <item x="167"/>
        <item x="780"/>
        <item x="0"/>
        <item x="311"/>
        <item x="278"/>
        <item x="714"/>
        <item x="555"/>
        <item x="422"/>
        <item x="45"/>
        <item x="378"/>
        <item x="474"/>
        <item x="315"/>
        <item x="14"/>
        <item x="252"/>
        <item x="558"/>
        <item x="259"/>
        <item x="373"/>
        <item x="767"/>
        <item x="198"/>
        <item x="802"/>
        <item x="190"/>
        <item x="528"/>
        <item x="114"/>
        <item x="327"/>
        <item x="50"/>
        <item x="688"/>
        <item x="79"/>
        <item x="247"/>
        <item x="609"/>
        <item x="337"/>
        <item x="978"/>
        <item x="479"/>
        <item x="185"/>
        <item x="485"/>
        <item x="581"/>
        <item x="850"/>
        <item x="13"/>
        <item x="731"/>
        <item x="689"/>
        <item x="560"/>
        <item x="115"/>
        <item x="752"/>
        <item x="83"/>
        <item x="241"/>
        <item x="295"/>
        <item x="976"/>
        <item x="77"/>
        <item x="601"/>
        <item x="437"/>
        <item x="790"/>
        <item x="245"/>
        <item x="877"/>
        <item x="148"/>
        <item x="41"/>
        <item x="902"/>
        <item x="544"/>
        <item x="732"/>
        <item x="834"/>
        <item x="301"/>
        <item x="335"/>
        <item x="833"/>
        <item x="398"/>
        <item x="425"/>
        <item x="656"/>
        <item x="324"/>
        <item x="907"/>
        <item x="134"/>
        <item x="932"/>
        <item x="934"/>
        <item x="203"/>
        <item x="838"/>
        <item x="477"/>
        <item x="146"/>
        <item x="959"/>
        <item x="136"/>
        <item x="746"/>
        <item x="605"/>
        <item x="736"/>
        <item x="741"/>
        <item x="754"/>
        <item x="256"/>
        <item x="592"/>
        <item x="968"/>
        <item x="154"/>
        <item x="383"/>
        <item x="366"/>
        <item x="197"/>
        <item x="493"/>
        <item x="606"/>
        <item x="889"/>
        <item x="419"/>
        <item x="147"/>
        <item x="764"/>
        <item x="386"/>
        <item x="447"/>
        <item x="881"/>
        <item x="141"/>
        <item x="62"/>
        <item x="916"/>
        <item x="847"/>
        <item x="979"/>
        <item x="232"/>
        <item x="257"/>
        <item x="274"/>
        <item x="238"/>
        <item x="866"/>
        <item x="36"/>
        <item x="748"/>
        <item x="454"/>
        <item x="289"/>
        <item x="863"/>
        <item x="928"/>
        <item x="974"/>
        <item x="896"/>
        <item x="76"/>
        <item x="258"/>
        <item x="347"/>
        <item x="713"/>
        <item x="887"/>
        <item x="814"/>
        <item x="223"/>
        <item x="498"/>
        <item x="40"/>
        <item x="954"/>
        <item x="42"/>
        <item x="89"/>
        <item x="846"/>
        <item x="30"/>
        <item x="541"/>
        <item x="701"/>
        <item x="824"/>
        <item x="599"/>
        <item x="208"/>
        <item x="96"/>
        <item x="225"/>
        <item x="865"/>
        <item x="765"/>
        <item x="771"/>
        <item x="730"/>
        <item x="111"/>
        <item x="682"/>
        <item x="516"/>
        <item x="878"/>
        <item x="104"/>
        <item x="572"/>
        <item x="418"/>
        <item x="253"/>
        <item x="357"/>
        <item x="362"/>
        <item x="884"/>
        <item x="199"/>
        <item x="140"/>
        <item x="202"/>
        <item x="593"/>
        <item x="408"/>
        <item x="642"/>
        <item x="810"/>
        <item x="468"/>
        <item x="178"/>
        <item x="931"/>
        <item x="302"/>
        <item x="217"/>
        <item x="269"/>
        <item x="143"/>
        <item x="649"/>
        <item x="106"/>
        <item x="342"/>
        <item x="903"/>
        <item x="882"/>
        <item x="220"/>
        <item x="588"/>
        <item x="622"/>
        <item x="747"/>
        <item x="626"/>
        <item x="845"/>
        <item x="133"/>
        <item x="763"/>
        <item x="118"/>
        <item x="97"/>
        <item x="612"/>
        <item x="822"/>
        <item x="306"/>
        <item x="122"/>
        <item x="514"/>
        <item x="69"/>
        <item x="779"/>
        <item x="654"/>
        <item x="73"/>
        <item x="457"/>
        <item x="325"/>
        <item x="890"/>
        <item x="275"/>
        <item x="124"/>
        <item x="86"/>
        <item x="973"/>
        <item x="751"/>
        <item x="484"/>
        <item x="693"/>
        <item x="205"/>
        <item x="26"/>
        <item x="17"/>
        <item x="123"/>
        <item x="436"/>
        <item x="719"/>
        <item x="631"/>
        <item x="450"/>
        <item x="888"/>
        <item x="540"/>
        <item x="777"/>
        <item x="738"/>
        <item x="458"/>
        <item x="813"/>
        <item x="955"/>
        <item x="899"/>
        <item x="502"/>
        <item x="778"/>
        <item x="504"/>
        <item x="971"/>
        <item x="57"/>
        <item x="125"/>
        <item x="821"/>
        <item x="830"/>
        <item x="8"/>
        <item x="298"/>
        <item x="710"/>
        <item x="392"/>
        <item x="537"/>
        <item x="819"/>
        <item t="default"/>
      </items>
    </pivotField>
    <pivotField dataField="1" showAll="0">
      <items count="993">
        <item x="561"/>
        <item x="276"/>
        <item x="810"/>
        <item x="251"/>
        <item x="267"/>
        <item x="242"/>
        <item x="792"/>
        <item x="797"/>
        <item x="745"/>
        <item x="162"/>
        <item x="975"/>
        <item x="23"/>
        <item x="613"/>
        <item x="586"/>
        <item x="355"/>
        <item x="936"/>
        <item x="197"/>
        <item x="835"/>
        <item x="514"/>
        <item x="254"/>
        <item x="16"/>
        <item x="683"/>
        <item x="958"/>
        <item x="133"/>
        <item x="874"/>
        <item x="898"/>
        <item x="639"/>
        <item x="967"/>
        <item x="763"/>
        <item x="223"/>
        <item x="82"/>
        <item x="168"/>
        <item x="582"/>
        <item x="667"/>
        <item x="760"/>
        <item x="439"/>
        <item x="391"/>
        <item x="650"/>
        <item x="474"/>
        <item x="566"/>
        <item x="698"/>
        <item x="1"/>
        <item x="158"/>
        <item x="856"/>
        <item x="323"/>
        <item x="265"/>
        <item x="156"/>
        <item x="395"/>
        <item x="767"/>
        <item x="225"/>
        <item x="774"/>
        <item x="408"/>
        <item x="845"/>
        <item x="552"/>
        <item x="83"/>
        <item x="934"/>
        <item x="65"/>
        <item x="721"/>
        <item x="509"/>
        <item x="824"/>
        <item x="72"/>
        <item x="370"/>
        <item x="537"/>
        <item x="833"/>
        <item x="106"/>
        <item x="209"/>
        <item x="959"/>
        <item x="547"/>
        <item x="907"/>
        <item x="713"/>
        <item x="266"/>
        <item x="132"/>
        <item x="108"/>
        <item x="179"/>
        <item x="911"/>
        <item x="465"/>
        <item x="310"/>
        <item x="354"/>
        <item x="589"/>
        <item x="521"/>
        <item x="460"/>
        <item x="99"/>
        <item x="284"/>
        <item x="765"/>
        <item x="143"/>
        <item x="450"/>
        <item x="775"/>
        <item x="808"/>
        <item x="956"/>
        <item x="401"/>
        <item x="631"/>
        <item x="575"/>
        <item x="933"/>
        <item x="432"/>
        <item x="152"/>
        <item x="523"/>
        <item x="653"/>
        <item x="800"/>
        <item x="961"/>
        <item x="39"/>
        <item x="954"/>
        <item x="255"/>
        <item x="796"/>
        <item x="188"/>
        <item x="34"/>
        <item x="196"/>
        <item x="214"/>
        <item x="304"/>
        <item x="875"/>
        <item x="63"/>
        <item x="385"/>
        <item x="973"/>
        <item x="194"/>
        <item x="244"/>
        <item x="729"/>
        <item x="781"/>
        <item x="682"/>
        <item x="920"/>
        <item x="635"/>
        <item x="793"/>
        <item x="904"/>
        <item x="282"/>
        <item x="68"/>
        <item x="632"/>
        <item x="91"/>
        <item x="211"/>
        <item x="972"/>
        <item x="949"/>
        <item x="48"/>
        <item x="831"/>
        <item x="493"/>
        <item x="377"/>
        <item x="584"/>
        <item x="688"/>
        <item x="926"/>
        <item x="559"/>
        <item x="326"/>
        <item x="190"/>
        <item x="22"/>
        <item x="333"/>
        <item x="678"/>
        <item x="497"/>
        <item x="495"/>
        <item x="449"/>
        <item x="71"/>
        <item x="533"/>
        <item x="248"/>
        <item x="176"/>
        <item x="838"/>
        <item x="272"/>
        <item x="659"/>
        <item x="136"/>
        <item x="636"/>
        <item x="602"/>
        <item x="673"/>
        <item x="434"/>
        <item x="468"/>
        <item x="31"/>
        <item x="380"/>
        <item x="531"/>
        <item x="481"/>
        <item x="600"/>
        <item x="681"/>
        <item x="928"/>
        <item x="328"/>
        <item x="532"/>
        <item x="186"/>
        <item x="805"/>
        <item x="288"/>
        <item x="406"/>
        <item x="407"/>
        <item x="633"/>
        <item x="642"/>
        <item x="446"/>
        <item x="919"/>
        <item x="9"/>
        <item x="862"/>
        <item x="866"/>
        <item x="353"/>
        <item x="246"/>
        <item x="665"/>
        <item x="219"/>
        <item x="697"/>
        <item x="233"/>
        <item x="706"/>
        <item x="851"/>
        <item x="27"/>
        <item x="517"/>
        <item x="951"/>
        <item x="487"/>
        <item x="854"/>
        <item x="92"/>
        <item x="45"/>
        <item x="259"/>
        <item x="200"/>
        <item x="927"/>
        <item x="116"/>
        <item x="756"/>
        <item x="424"/>
        <item x="140"/>
        <item x="41"/>
        <item x="735"/>
        <item x="658"/>
        <item x="553"/>
        <item x="129"/>
        <item x="860"/>
        <item x="279"/>
        <item x="746"/>
        <item x="256"/>
        <item x="383"/>
        <item x="551"/>
        <item x="608"/>
        <item x="896"/>
        <item x="148"/>
        <item x="811"/>
        <item x="321"/>
        <item x="257"/>
        <item x="61"/>
        <item x="814"/>
        <item x="394"/>
        <item x="605"/>
        <item x="216"/>
        <item x="711"/>
        <item x="894"/>
        <item x="823"/>
        <item x="820"/>
        <item x="12"/>
        <item x="892"/>
        <item x="908"/>
        <item x="151"/>
        <item x="28"/>
        <item x="508"/>
        <item x="410"/>
        <item x="846"/>
        <item x="859"/>
        <item x="595"/>
        <item x="409"/>
        <item x="519"/>
        <item x="707"/>
        <item x="623"/>
        <item x="725"/>
        <item x="548"/>
        <item x="743"/>
        <item x="411"/>
        <item x="98"/>
        <item x="44"/>
        <item x="718"/>
        <item x="471"/>
        <item x="74"/>
        <item x="571"/>
        <item x="507"/>
        <item x="125"/>
        <item x="462"/>
        <item x="139"/>
        <item x="890"/>
        <item x="837"/>
        <item x="705"/>
        <item x="506"/>
        <item x="392"/>
        <item x="692"/>
        <item x="676"/>
        <item x="737"/>
        <item x="73"/>
        <item x="131"/>
        <item x="597"/>
        <item x="738"/>
        <item x="104"/>
        <item x="96"/>
        <item x="655"/>
        <item x="604"/>
        <item x="753"/>
        <item x="217"/>
        <item x="522"/>
        <item x="66"/>
        <item x="457"/>
        <item x="662"/>
        <item x="100"/>
        <item x="627"/>
        <item x="989"/>
        <item x="109"/>
        <item x="841"/>
        <item x="529"/>
        <item x="569"/>
        <item x="664"/>
        <item x="103"/>
        <item x="75"/>
        <item x="341"/>
        <item x="944"/>
        <item x="764"/>
        <item x="367"/>
        <item x="54"/>
        <item x="536"/>
        <item x="520"/>
        <item x="689"/>
        <item x="660"/>
        <item x="578"/>
        <item x="290"/>
        <item x="235"/>
        <item x="319"/>
        <item x="666"/>
        <item x="239"/>
        <item x="637"/>
        <item x="262"/>
        <item x="591"/>
        <item x="758"/>
        <item x="618"/>
        <item x="222"/>
        <item x="869"/>
        <item x="181"/>
        <item x="153"/>
        <item x="730"/>
        <item x="405"/>
        <item x="110"/>
        <item x="654"/>
        <item x="415"/>
        <item x="491"/>
        <item x="456"/>
        <item x="198"/>
        <item x="565"/>
        <item x="626"/>
        <item x="47"/>
        <item x="801"/>
        <item x="675"/>
        <item x="788"/>
        <item x="881"/>
        <item x="576"/>
        <item x="749"/>
        <item x="596"/>
        <item x="94"/>
        <item x="231"/>
        <item x="11"/>
        <item x="464"/>
        <item x="93"/>
        <item x="731"/>
        <item x="329"/>
        <item x="470"/>
        <item x="979"/>
        <item x="913"/>
        <item x="984"/>
        <item x="568"/>
        <item x="285"/>
        <item x="4"/>
        <item x="122"/>
        <item x="588"/>
        <item x="368"/>
        <item x="617"/>
        <item x="431"/>
        <item x="809"/>
        <item x="313"/>
        <item x="418"/>
        <item x="679"/>
        <item x="24"/>
        <item x="777"/>
        <item x="955"/>
        <item x="283"/>
        <item x="868"/>
        <item x="554"/>
        <item x="249"/>
        <item x="384"/>
        <item x="744"/>
        <item x="978"/>
        <item x="314"/>
        <item x="787"/>
        <item x="953"/>
        <item x="931"/>
        <item x="115"/>
        <item x="170"/>
        <item x="443"/>
        <item x="178"/>
        <item x="640"/>
        <item x="425"/>
        <item x="312"/>
        <item x="657"/>
        <item x="603"/>
        <item x="727"/>
        <item x="977"/>
        <item x="263"/>
        <item x="925"/>
        <item x="943"/>
        <item x="388"/>
        <item x="264"/>
        <item x="541"/>
        <item x="174"/>
        <item x="750"/>
        <item x="130"/>
        <item x="946"/>
        <item x="85"/>
        <item x="167"/>
        <item x="286"/>
        <item x="638"/>
        <item x="794"/>
        <item x="117"/>
        <item x="680"/>
        <item x="871"/>
        <item x="363"/>
        <item x="757"/>
        <item x="761"/>
        <item x="564"/>
        <item x="587"/>
        <item x="873"/>
        <item x="36"/>
        <item x="382"/>
        <item x="67"/>
        <item x="748"/>
        <item x="843"/>
        <item x="937"/>
        <item x="535"/>
        <item x="641"/>
        <item x="616"/>
        <item x="747"/>
        <item x="921"/>
        <item x="356"/>
        <item x="686"/>
        <item x="210"/>
        <item x="250"/>
        <item x="76"/>
        <item x="628"/>
        <item x="492"/>
        <item x="303"/>
        <item x="733"/>
        <item x="253"/>
        <item x="974"/>
        <item x="962"/>
        <item x="141"/>
        <item x="195"/>
        <item x="469"/>
        <item x="180"/>
        <item x="842"/>
        <item x="427"/>
        <item x="271"/>
        <item x="221"/>
        <item x="220"/>
        <item x="671"/>
        <item x="751"/>
        <item x="850"/>
        <item x="119"/>
        <item x="848"/>
        <item x="202"/>
        <item x="828"/>
        <item x="123"/>
        <item x="877"/>
        <item x="755"/>
        <item x="207"/>
        <item x="883"/>
        <item x="722"/>
        <item x="165"/>
        <item x="567"/>
        <item x="371"/>
        <item x="782"/>
        <item x="742"/>
        <item x="965"/>
        <item x="364"/>
        <item x="52"/>
        <item x="779"/>
        <item x="726"/>
        <item x="473"/>
        <item x="298"/>
        <item x="619"/>
        <item x="528"/>
        <item x="621"/>
        <item x="812"/>
        <item x="663"/>
        <item x="479"/>
        <item x="555"/>
        <item x="511"/>
        <item x="855"/>
        <item x="294"/>
        <item x="512"/>
        <item x="947"/>
        <item x="668"/>
        <item x="500"/>
        <item x="430"/>
        <item x="526"/>
        <item x="957"/>
        <item x="461"/>
        <item x="185"/>
        <item x="146"/>
        <item x="620"/>
        <item x="818"/>
        <item x="736"/>
        <item x="577"/>
        <item x="203"/>
        <item x="166"/>
        <item x="720"/>
        <item x="261"/>
        <item x="3"/>
        <item x="939"/>
        <item x="273"/>
        <item x="159"/>
        <item x="540"/>
        <item x="863"/>
        <item x="932"/>
        <item x="938"/>
        <item x="982"/>
        <item x="592"/>
        <item x="213"/>
        <item x="208"/>
        <item x="237"/>
        <item x="472"/>
        <item x="503"/>
        <item x="917"/>
        <item x="163"/>
        <item x="550"/>
        <item x="15"/>
        <item x="952"/>
        <item x="560"/>
        <item x="369"/>
        <item x="772"/>
        <item x="229"/>
        <item x="815"/>
        <item x="351"/>
        <item x="120"/>
        <item x="193"/>
        <item x="580"/>
        <item x="50"/>
        <item x="80"/>
        <item x="612"/>
        <item x="912"/>
        <item x="5"/>
        <item x="480"/>
        <item x="583"/>
        <item x="734"/>
        <item x="562"/>
        <item x="714"/>
        <item x="295"/>
        <item x="309"/>
        <item x="438"/>
        <item x="453"/>
        <item x="893"/>
        <item x="909"/>
        <item x="301"/>
        <item x="32"/>
        <item x="324"/>
        <item x="861"/>
        <item x="844"/>
        <item x="496"/>
        <item x="887"/>
        <item x="60"/>
        <item x="37"/>
        <item x="799"/>
        <item x="773"/>
        <item x="915"/>
        <item x="29"/>
        <item x="296"/>
        <item x="305"/>
        <item x="741"/>
        <item x="510"/>
        <item x="513"/>
        <item x="361"/>
        <item x="752"/>
        <item x="455"/>
        <item x="732"/>
        <item x="870"/>
        <item x="330"/>
        <item x="127"/>
        <item x="299"/>
        <item x="436"/>
        <item x="89"/>
        <item x="490"/>
        <item x="21"/>
        <item x="349"/>
        <item x="226"/>
        <item x="549"/>
        <item x="184"/>
        <item x="776"/>
        <item x="646"/>
        <item x="685"/>
        <item x="49"/>
        <item x="611"/>
        <item x="924"/>
        <item x="483"/>
        <item x="599"/>
        <item x="614"/>
        <item x="900"/>
        <item x="966"/>
        <item x="813"/>
        <item x="154"/>
        <item x="387"/>
        <item x="768"/>
        <item x="960"/>
        <item x="372"/>
        <item x="622"/>
        <item x="858"/>
        <item x="339"/>
        <item x="306"/>
        <item x="43"/>
        <item x="656"/>
        <item x="644"/>
        <item x="287"/>
        <item x="26"/>
        <item x="400"/>
        <item x="826"/>
        <item x="440"/>
        <item x="376"/>
        <item x="317"/>
        <item x="2"/>
        <item x="945"/>
        <item x="504"/>
        <item x="864"/>
        <item x="86"/>
        <item x="81"/>
        <item x="381"/>
        <item x="454"/>
        <item x="307"/>
        <item x="728"/>
        <item x="648"/>
        <item x="901"/>
        <item x="802"/>
        <item x="950"/>
        <item x="515"/>
        <item x="624"/>
        <item x="878"/>
        <item x="593"/>
        <item x="964"/>
        <item x="277"/>
        <item x="51"/>
        <item x="690"/>
        <item x="585"/>
        <item x="247"/>
        <item x="661"/>
        <item x="780"/>
        <item x="236"/>
        <item x="348"/>
        <item x="538"/>
        <item x="476"/>
        <item x="463"/>
        <item x="55"/>
        <item x="579"/>
        <item x="829"/>
        <item x="79"/>
        <item x="435"/>
        <item x="161"/>
        <item x="421"/>
        <item x="413"/>
        <item x="215"/>
        <item x="834"/>
        <item x="398"/>
        <item x="699"/>
        <item x="426"/>
        <item x="798"/>
        <item x="135"/>
        <item x="709"/>
        <item x="433"/>
        <item x="138"/>
        <item x="172"/>
        <item x="630"/>
        <item x="228"/>
        <item x="155"/>
        <item x="445"/>
        <item x="524"/>
        <item x="268"/>
        <item x="150"/>
        <item x="652"/>
        <item x="240"/>
        <item x="544"/>
        <item x="322"/>
        <item x="344"/>
        <item x="806"/>
        <item x="183"/>
        <item x="396"/>
        <item x="389"/>
        <item x="572"/>
        <item x="771"/>
        <item x="693"/>
        <item x="723"/>
        <item x="986"/>
        <item x="422"/>
        <item x="669"/>
        <item x="171"/>
        <item x="397"/>
        <item x="281"/>
        <item x="791"/>
        <item x="270"/>
        <item x="291"/>
        <item x="46"/>
        <item x="230"/>
        <item x="56"/>
        <item x="399"/>
        <item x="59"/>
        <item x="177"/>
        <item x="976"/>
        <item x="97"/>
        <item x="832"/>
        <item x="447"/>
        <item x="379"/>
        <item x="804"/>
        <item x="189"/>
        <item x="987"/>
        <item x="489"/>
        <item x="940"/>
        <item x="867"/>
        <item x="269"/>
        <item x="7"/>
        <item x="563"/>
        <item x="651"/>
        <item x="902"/>
        <item x="687"/>
        <item x="889"/>
        <item x="477"/>
        <item x="417"/>
        <item x="134"/>
        <item x="615"/>
        <item x="516"/>
        <item x="70"/>
        <item x="784"/>
        <item x="704"/>
        <item x="311"/>
        <item x="278"/>
        <item x="275"/>
        <item x="985"/>
        <item x="485"/>
        <item x="124"/>
        <item x="14"/>
        <item x="114"/>
        <item x="790"/>
        <item x="819"/>
        <item x="906"/>
        <item x="192"/>
        <item x="930"/>
        <item x="33"/>
        <item x="327"/>
        <item x="8"/>
        <item x="64"/>
        <item x="942"/>
        <item x="484"/>
        <item x="825"/>
        <item x="534"/>
        <item x="359"/>
        <item x="78"/>
        <item x="88"/>
        <item x="293"/>
        <item x="795"/>
        <item x="245"/>
        <item x="182"/>
        <item x="416"/>
        <item x="821"/>
        <item x="38"/>
        <item x="803"/>
        <item x="338"/>
        <item x="442"/>
        <item x="941"/>
        <item x="876"/>
        <item x="865"/>
        <item x="205"/>
        <item x="234"/>
        <item x="849"/>
        <item x="128"/>
        <item x="677"/>
        <item x="121"/>
        <item x="980"/>
        <item x="164"/>
        <item x="556"/>
        <item x="672"/>
        <item x="570"/>
        <item x="769"/>
        <item x="292"/>
        <item x="916"/>
        <item x="888"/>
        <item x="243"/>
        <item x="853"/>
        <item x="414"/>
        <item x="701"/>
        <item x="696"/>
        <item x="289"/>
        <item x="702"/>
        <item x="318"/>
        <item x="358"/>
        <item x="429"/>
        <item x="482"/>
        <item x="69"/>
        <item x="899"/>
        <item x="347"/>
        <item x="102"/>
        <item x="502"/>
        <item x="40"/>
        <item x="350"/>
        <item x="817"/>
        <item x="111"/>
        <item x="227"/>
        <item x="830"/>
        <item x="601"/>
        <item x="35"/>
        <item x="19"/>
        <item x="316"/>
        <item x="428"/>
        <item x="770"/>
        <item x="6"/>
        <item x="95"/>
        <item x="412"/>
        <item x="739"/>
        <item x="545"/>
        <item x="201"/>
        <item x="423"/>
        <item x="10"/>
        <item x="762"/>
        <item x="847"/>
        <item x="297"/>
        <item x="530"/>
        <item x="684"/>
        <item x="403"/>
        <item x="857"/>
        <item x="206"/>
        <item x="558"/>
        <item x="948"/>
        <item x="175"/>
        <item x="332"/>
        <item x="754"/>
        <item x="884"/>
        <item x="935"/>
        <item x="649"/>
        <item x="57"/>
        <item x="840"/>
        <item x="58"/>
        <item x="335"/>
        <item x="766"/>
        <item x="882"/>
        <item x="25"/>
        <item x="260"/>
        <item x="501"/>
        <item x="789"/>
        <item x="914"/>
        <item x="581"/>
        <item x="969"/>
        <item x="137"/>
        <item x="375"/>
        <item x="607"/>
        <item x="708"/>
        <item x="880"/>
        <item x="759"/>
        <item x="981"/>
        <item x="191"/>
        <item x="441"/>
        <item x="366"/>
        <item x="970"/>
        <item x="879"/>
        <item x="374"/>
        <item x="308"/>
        <item x="452"/>
        <item x="923"/>
        <item x="778"/>
        <item x="498"/>
        <item x="670"/>
        <item x="274"/>
        <item x="238"/>
        <item x="145"/>
        <item x="258"/>
        <item x="610"/>
        <item x="674"/>
        <item x="466"/>
        <item x="499"/>
        <item x="444"/>
        <item x="467"/>
        <item x="378"/>
        <item x="315"/>
        <item x="527"/>
        <item x="694"/>
        <item x="574"/>
        <item x="929"/>
        <item x="362"/>
        <item x="187"/>
        <item x="346"/>
        <item x="918"/>
        <item x="160"/>
        <item x="101"/>
        <item x="691"/>
        <item x="144"/>
        <item x="629"/>
        <item x="360"/>
        <item x="331"/>
        <item x="839"/>
        <item x="897"/>
        <item x="87"/>
        <item x="113"/>
        <item x="606"/>
        <item x="300"/>
        <item x="343"/>
        <item x="478"/>
        <item x="895"/>
        <item x="147"/>
        <item x="340"/>
        <item x="645"/>
        <item x="712"/>
        <item x="199"/>
        <item x="420"/>
        <item x="525"/>
        <item x="786"/>
        <item x="573"/>
        <item x="212"/>
        <item x="53"/>
        <item x="598"/>
        <item x="488"/>
        <item x="169"/>
        <item x="886"/>
        <item x="557"/>
        <item x="903"/>
        <item x="345"/>
        <item x="475"/>
        <item x="118"/>
        <item x="252"/>
        <item x="717"/>
        <item x="18"/>
        <item x="543"/>
        <item x="13"/>
        <item x="700"/>
        <item x="112"/>
        <item x="885"/>
        <item x="609"/>
        <item x="968"/>
        <item x="336"/>
        <item x="320"/>
        <item x="334"/>
        <item x="20"/>
        <item x="365"/>
        <item x="325"/>
        <item x="594"/>
        <item x="157"/>
        <item x="402"/>
        <item x="719"/>
        <item x="451"/>
        <item x="971"/>
        <item x="404"/>
        <item x="922"/>
        <item x="386"/>
        <item x="783"/>
        <item x="983"/>
        <item x="448"/>
        <item x="785"/>
        <item x="991"/>
        <item x="716"/>
        <item x="173"/>
        <item x="539"/>
        <item x="373"/>
        <item x="505"/>
        <item x="710"/>
        <item x="337"/>
        <item x="715"/>
        <item x="224"/>
        <item x="352"/>
        <item x="42"/>
        <item x="90"/>
        <item x="905"/>
        <item x="84"/>
        <item x="703"/>
        <item x="149"/>
        <item x="105"/>
        <item x="546"/>
        <item x="891"/>
        <item x="390"/>
        <item x="643"/>
        <item x="816"/>
        <item x="218"/>
        <item x="647"/>
        <item x="393"/>
        <item x="280"/>
        <item x="740"/>
        <item x="724"/>
        <item x="822"/>
        <item x="494"/>
        <item x="0"/>
        <item x="437"/>
        <item x="142"/>
        <item x="634"/>
        <item x="232"/>
        <item x="459"/>
        <item x="807"/>
        <item x="126"/>
        <item x="990"/>
        <item x="77"/>
        <item x="486"/>
        <item x="241"/>
        <item x="988"/>
        <item x="963"/>
        <item x="30"/>
        <item x="357"/>
        <item x="204"/>
        <item x="302"/>
        <item x="107"/>
        <item x="910"/>
        <item x="62"/>
        <item x="458"/>
        <item x="17"/>
        <item x="542"/>
        <item x="827"/>
        <item x="836"/>
        <item x="852"/>
        <item x="872"/>
        <item x="518"/>
        <item x="419"/>
        <item x="342"/>
        <item x="590"/>
        <item x="625"/>
        <item x="695"/>
        <item t="default"/>
      </items>
    </pivotField>
  </pivotFields>
  <rowFields count="1">
    <field x="0"/>
  </rowFields>
  <rowItems count="6">
    <i>
      <x/>
    </i>
    <i>
      <x v="1"/>
    </i>
    <i>
      <x v="2"/>
    </i>
    <i>
      <x v="3"/>
    </i>
    <i>
      <x v="4"/>
    </i>
    <i t="grand">
      <x/>
    </i>
  </rowItems>
  <colFields count="1">
    <field x="-2"/>
  </colFields>
  <colItems count="2">
    <i>
      <x/>
    </i>
    <i i="1">
      <x v="1"/>
    </i>
  </colItems>
  <dataFields count="2">
    <dataField name="Count of Quantity" fld="4" subtotal="count" baseField="0" baseItem="0"/>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2DDD4C-03E6-4D64-975B-1E4BDA324B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B11" firstHeaderRow="1" firstDataRow="1" firstDataCol="1"/>
  <pivotFields count="7">
    <pivotField showAll="0"/>
    <pivotField axis="axisRow" showAll="0">
      <items count="5">
        <item x="2"/>
        <item x="0"/>
        <item x="1"/>
        <item x="3"/>
        <item t="default"/>
      </items>
    </pivotField>
    <pivotField showAll="0"/>
    <pivotField showAll="0">
      <items count="7">
        <item x="2"/>
        <item x="0"/>
        <item x="4"/>
        <item x="5"/>
        <item x="3"/>
        <item x="1"/>
        <item t="default"/>
      </items>
    </pivotField>
    <pivotField showAll="0"/>
    <pivotField showAll="0"/>
    <pivotField dataField="1" showAll="0"/>
  </pivotFields>
  <rowFields count="1">
    <field x="1"/>
  </rowFields>
  <rowItems count="5">
    <i>
      <x/>
    </i>
    <i>
      <x v="1"/>
    </i>
    <i>
      <x v="2"/>
    </i>
    <i>
      <x v="3"/>
    </i>
    <i t="grand">
      <x/>
    </i>
  </rowItems>
  <colItems count="1">
    <i/>
  </colItems>
  <dataFields count="1">
    <dataField name="Sum of Sale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C799CA-489F-43CD-83A9-2E4B4ABFB9C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9:H66" firstHeaderRow="1" firstDataRow="2" firstDataCol="1"/>
  <pivotFields count="7">
    <pivotField axis="axisRow" showAll="0">
      <items count="6">
        <item x="1"/>
        <item x="3"/>
        <item x="2"/>
        <item x="0"/>
        <item x="4"/>
        <item t="default"/>
      </items>
    </pivotField>
    <pivotField showAll="0">
      <items count="5">
        <item x="2"/>
        <item x="0"/>
        <item x="1"/>
        <item x="3"/>
        <item t="default"/>
      </items>
    </pivotField>
    <pivotField showAll="0">
      <items count="6">
        <item x="3"/>
        <item x="1"/>
        <item x="0"/>
        <item x="4"/>
        <item x="2"/>
        <item t="default"/>
      </items>
    </pivotField>
    <pivotField axis="axisCol" showAll="0">
      <items count="7">
        <item x="2"/>
        <item x="0"/>
        <item x="4"/>
        <item x="5"/>
        <item x="3"/>
        <item x="1"/>
        <item t="default"/>
      </items>
    </pivotField>
    <pivotField showAll="0"/>
    <pivotField showAll="0">
      <items count="981">
        <item x="927"/>
        <item x="473"/>
        <item x="23"/>
        <item x="82"/>
        <item x="559"/>
        <item x="610"/>
        <item x="391"/>
        <item x="242"/>
        <item x="105"/>
        <item x="276"/>
        <item x="805"/>
        <item x="438"/>
        <item x="207"/>
        <item x="521"/>
        <item x="160"/>
        <item x="251"/>
        <item x="949"/>
        <item x="267"/>
        <item x="535"/>
        <item x="755"/>
        <item x="355"/>
        <item x="868"/>
        <item x="63"/>
        <item x="385"/>
        <item x="829"/>
        <item x="354"/>
        <item x="827"/>
        <item x="770"/>
        <item x="70"/>
        <item x="900"/>
        <item x="224"/>
        <item x="531"/>
        <item x="377"/>
        <item x="248"/>
        <item x="16"/>
        <item x="676"/>
        <item x="174"/>
        <item x="696"/>
        <item x="657"/>
        <item x="957"/>
        <item x="762"/>
        <item x="266"/>
        <item x="841"/>
        <item x="787"/>
        <item x="718"/>
        <item x="806"/>
        <item x="817"/>
        <item x="641"/>
        <item x="151"/>
        <item x="629"/>
        <item x="840"/>
        <item x="825"/>
        <item x="792"/>
        <item x="740"/>
        <item x="1"/>
        <item x="557"/>
        <item x="883"/>
        <item x="304"/>
        <item x="107"/>
        <item x="920"/>
        <item x="901"/>
        <item x="72"/>
        <item x="423"/>
        <item x="519"/>
        <item x="132"/>
        <item x="98"/>
        <item x="551"/>
        <item x="722"/>
        <item x="867"/>
        <item x="947"/>
        <item x="638"/>
        <item x="926"/>
        <item x="885"/>
        <item x="64"/>
        <item x="28"/>
        <item x="520"/>
        <item x="852"/>
        <item x="963"/>
        <item x="517"/>
        <item x="945"/>
        <item x="660"/>
        <item x="222"/>
        <item x="658"/>
        <item x="108"/>
        <item x="445"/>
        <item x="138"/>
        <item x="549"/>
        <item x="448"/>
        <item x="9"/>
        <item x="166"/>
        <item x="545"/>
        <item x="749"/>
        <item x="467"/>
        <item x="290"/>
        <item x="380"/>
        <item x="319"/>
        <item x="636"/>
        <item x="684"/>
        <item x="67"/>
        <item x="615"/>
        <item x="530"/>
        <item x="288"/>
        <item x="803"/>
        <item x="972"/>
        <item x="490"/>
        <item x="912"/>
        <item x="95"/>
        <item x="326"/>
        <item x="602"/>
        <item x="368"/>
        <item x="156"/>
        <item x="855"/>
        <item x="313"/>
        <item x="99"/>
        <item x="409"/>
        <item x="952"/>
        <item x="92"/>
        <item x="791"/>
        <item x="620"/>
        <item x="410"/>
        <item x="312"/>
        <item x="743"/>
        <item x="584"/>
        <item x="139"/>
        <item x="831"/>
        <item x="417"/>
        <item x="244"/>
        <item x="518"/>
        <item x="172"/>
        <item x="279"/>
        <item x="687"/>
        <item x="734"/>
        <item x="195"/>
        <item x="507"/>
        <item x="574"/>
        <item x="818"/>
        <item x="262"/>
        <item x="370"/>
        <item x="837"/>
        <item x="512"/>
        <item x="12"/>
        <item x="254"/>
        <item x="950"/>
        <item x="353"/>
        <item x="48"/>
        <item x="414"/>
        <item x="102"/>
        <item x="663"/>
        <item x="563"/>
        <item x="695"/>
        <item x="582"/>
        <item x="686"/>
        <item x="384"/>
        <item x="569"/>
        <item x="486"/>
        <item x="874"/>
        <item x="634"/>
        <item x="314"/>
        <item x="680"/>
        <item x="176"/>
        <item x="472"/>
        <item x="356"/>
        <item x="424"/>
        <item x="904"/>
        <item x="967"/>
        <item x="595"/>
        <item x="285"/>
        <item x="426"/>
        <item x="586"/>
        <item x="812"/>
        <item x="219"/>
        <item x="430"/>
        <item x="727"/>
        <item x="804"/>
        <item x="575"/>
        <item x="401"/>
        <item x="891"/>
        <item x="321"/>
        <item x="135"/>
        <item x="635"/>
        <item x="623"/>
        <item x="394"/>
        <item x="603"/>
        <item x="640"/>
        <item x="431"/>
        <item x="848"/>
        <item x="923"/>
        <item x="206"/>
        <item x="758"/>
        <item x="480"/>
        <item x="506"/>
        <item x="655"/>
        <item x="921"/>
        <item x="724"/>
        <item x="54"/>
        <item x="953"/>
        <item x="705"/>
        <item x="965"/>
        <item x="186"/>
        <item x="227"/>
        <item x="918"/>
        <item x="715"/>
        <item x="165"/>
        <item x="81"/>
        <item x="565"/>
        <item x="121"/>
        <item x="239"/>
        <item x="273"/>
        <item x="886"/>
        <item x="723"/>
        <item x="589"/>
        <item x="580"/>
        <item x="772"/>
        <item x="66"/>
        <item x="237"/>
        <item x="744"/>
        <item x="665"/>
        <item x="233"/>
        <item x="733"/>
        <item x="548"/>
        <item x="533"/>
        <item x="37"/>
        <item x="653"/>
        <item x="948"/>
        <item x="404"/>
        <item x="652"/>
        <item x="75"/>
        <item x="633"/>
        <item x="788"/>
        <item x="977"/>
        <item x="648"/>
        <item x="299"/>
        <item x="717"/>
        <item x="309"/>
        <item x="90"/>
        <item x="567"/>
        <item x="128"/>
        <item x="163"/>
        <item x="371"/>
        <item x="970"/>
        <item x="495"/>
        <item x="880"/>
        <item x="728"/>
        <item x="74"/>
        <item x="637"/>
        <item x="910"/>
        <item x="564"/>
        <item x="864"/>
        <item x="753"/>
        <item x="510"/>
        <item x="511"/>
        <item x="4"/>
        <item x="820"/>
        <item x="369"/>
        <item x="317"/>
        <item x="2"/>
        <item x="936"/>
        <item x="849"/>
        <item x="24"/>
        <item x="323"/>
        <item x="742"/>
        <item x="80"/>
        <item x="265"/>
        <item x="155"/>
        <item x="646"/>
        <item x="235"/>
        <item x="683"/>
        <item x="552"/>
        <item x="201"/>
        <item x="491"/>
        <item x="395"/>
        <item x="962"/>
        <item x="966"/>
        <item x="854"/>
        <item x="782"/>
        <item x="221"/>
        <item x="546"/>
        <item x="179"/>
        <item x="739"/>
        <item x="769"/>
        <item x="775"/>
        <item x="152"/>
        <item x="843"/>
        <item x="929"/>
        <item x="44"/>
        <item x="407"/>
        <item x="470"/>
        <item x="908"/>
        <item x="839"/>
        <item x="29"/>
        <item x="639"/>
        <item x="461"/>
        <item x="109"/>
        <item x="832"/>
        <item x="550"/>
        <item x="462"/>
        <item x="600"/>
        <item x="616"/>
        <item x="793"/>
        <item x="674"/>
        <item x="264"/>
        <item x="137"/>
        <item x="809"/>
        <item x="351"/>
        <item x="796"/>
        <item x="553"/>
        <item x="509"/>
        <item x="797"/>
        <item x="228"/>
        <item x="513"/>
        <item x="621"/>
        <item x="268"/>
        <item x="103"/>
        <item x="591"/>
        <item x="678"/>
        <item x="608"/>
        <item x="452"/>
        <item x="11"/>
        <item x="328"/>
        <item x="463"/>
        <item x="71"/>
        <item x="184"/>
        <item x="766"/>
        <item x="611"/>
        <item x="397"/>
        <item x="475"/>
        <item x="630"/>
        <item x="851"/>
        <item x="43"/>
        <item x="914"/>
        <item x="643"/>
        <item x="261"/>
        <item x="566"/>
        <item x="60"/>
        <item x="175"/>
        <item x="768"/>
        <item x="412"/>
        <item x="625"/>
        <item x="3"/>
        <item x="376"/>
        <item x="303"/>
        <item x="697"/>
        <item x="157"/>
        <item x="859"/>
        <item x="857"/>
        <item x="662"/>
        <item x="590"/>
        <item x="85"/>
        <item x="836"/>
        <item x="561"/>
        <item x="725"/>
        <item x="711"/>
        <item x="704"/>
        <item x="935"/>
        <item x="149"/>
        <item x="650"/>
        <item x="27"/>
        <item x="200"/>
        <item x="515"/>
        <item x="942"/>
        <item x="91"/>
        <item x="489"/>
        <item x="15"/>
        <item x="21"/>
        <item x="131"/>
        <item x="570"/>
        <item x="547"/>
        <item x="944"/>
        <item x="191"/>
        <item x="177"/>
        <item x="168"/>
        <item x="583"/>
        <item x="49"/>
        <item x="46"/>
        <item x="905"/>
        <item x="442"/>
        <item x="536"/>
        <item x="526"/>
        <item x="618"/>
        <item x="661"/>
        <item x="664"/>
        <item x="464"/>
        <item x="893"/>
        <item x="807"/>
        <item x="310"/>
        <item x="372"/>
        <item x="420"/>
        <item x="587"/>
        <item x="459"/>
        <item x="187"/>
        <item x="32"/>
        <item x="263"/>
        <item x="338"/>
        <item x="183"/>
        <item x="284"/>
        <item x="388"/>
        <item x="760"/>
        <item x="853"/>
        <item x="432"/>
        <item x="142"/>
        <item x="539"/>
        <item x="862"/>
        <item x="476"/>
        <item x="675"/>
        <item x="416"/>
        <item x="449"/>
        <item x="794"/>
        <item x="162"/>
        <item x="554"/>
        <item x="116"/>
        <item x="413"/>
        <item x="562"/>
        <item x="737"/>
        <item x="344"/>
        <item x="628"/>
        <item x="61"/>
        <item x="801"/>
        <item x="922"/>
        <item x="700"/>
        <item x="808"/>
        <item x="215"/>
        <item x="892"/>
        <item x="573"/>
        <item x="126"/>
        <item x="786"/>
        <item x="925"/>
        <item x="270"/>
        <item x="709"/>
        <item x="291"/>
        <item x="47"/>
        <item x="673"/>
        <item x="783"/>
        <item x="212"/>
        <item x="293"/>
        <item x="811"/>
        <item x="150"/>
        <item x="59"/>
        <item x="471"/>
        <item x="236"/>
        <item x="651"/>
        <item x="349"/>
        <item x="250"/>
        <item x="415"/>
        <item x="594"/>
        <item x="795"/>
        <item x="735"/>
        <item x="975"/>
        <item x="488"/>
        <item x="234"/>
        <item x="823"/>
        <item x="943"/>
        <item x="78"/>
        <item x="39"/>
        <item x="255"/>
        <item x="7"/>
        <item x="828"/>
        <item x="271"/>
        <item x="578"/>
        <item x="669"/>
        <item x="153"/>
        <item x="34"/>
        <item x="5"/>
        <item x="194"/>
        <item x="170"/>
        <item x="870"/>
        <item x="287"/>
        <item x="627"/>
        <item x="702"/>
        <item x="505"/>
        <item x="876"/>
        <item x="213"/>
        <item x="694"/>
        <item x="173"/>
        <item x="113"/>
        <item x="750"/>
        <item x="240"/>
        <item x="703"/>
        <item x="364"/>
        <item x="481"/>
        <item x="68"/>
        <item x="33"/>
        <item x="52"/>
        <item x="614"/>
        <item x="961"/>
        <item x="761"/>
        <item x="322"/>
        <item x="933"/>
        <item x="677"/>
        <item x="192"/>
        <item x="690"/>
        <item x="946"/>
        <item x="381"/>
        <item x="359"/>
        <item x="706"/>
        <item x="307"/>
        <item x="720"/>
        <item x="421"/>
        <item x="667"/>
        <item x="169"/>
        <item x="726"/>
        <item x="130"/>
        <item x="249"/>
        <item x="666"/>
        <item x="499"/>
        <item x="776"/>
        <item x="6"/>
        <item x="230"/>
        <item x="411"/>
        <item x="871"/>
        <item x="960"/>
        <item x="679"/>
        <item x="872"/>
        <item x="38"/>
        <item x="296"/>
        <item x="399"/>
        <item x="216"/>
        <item x="869"/>
        <item x="757"/>
        <item x="65"/>
        <item x="508"/>
        <item x="51"/>
        <item x="361"/>
        <item x="456"/>
        <item x="127"/>
        <item x="446"/>
        <item x="729"/>
        <item x="913"/>
        <item x="379"/>
        <item x="348"/>
        <item x="624"/>
        <item x="897"/>
        <item x="282"/>
        <item x="909"/>
        <item x="939"/>
        <item x="895"/>
        <item x="55"/>
        <item x="332"/>
        <item x="577"/>
        <item x="835"/>
        <item x="159"/>
        <item x="930"/>
        <item x="182"/>
        <item x="875"/>
        <item x="527"/>
        <item x="209"/>
        <item x="500"/>
        <item x="538"/>
        <item x="924"/>
        <item x="940"/>
        <item x="917"/>
        <item x="785"/>
        <item x="100"/>
        <item x="101"/>
        <item x="129"/>
        <item x="501"/>
        <item x="937"/>
        <item x="84"/>
        <item x="189"/>
        <item x="286"/>
        <item x="341"/>
        <item x="226"/>
        <item x="522"/>
        <item x="35"/>
        <item x="789"/>
        <item x="492"/>
        <item x="532"/>
        <item x="542"/>
        <item x="759"/>
        <item x="619"/>
        <item x="360"/>
        <item x="339"/>
        <item x="367"/>
        <item x="773"/>
        <item x="363"/>
        <item x="919"/>
        <item x="87"/>
        <item x="756"/>
        <item x="400"/>
        <item x="534"/>
        <item x="112"/>
        <item x="585"/>
        <item x="604"/>
        <item x="343"/>
        <item x="382"/>
        <item x="842"/>
        <item x="229"/>
        <item x="188"/>
        <item x="340"/>
        <item x="119"/>
        <item x="691"/>
        <item x="22"/>
        <item x="333"/>
        <item x="281"/>
        <item x="858"/>
        <item x="613"/>
        <item x="844"/>
        <item x="204"/>
        <item x="56"/>
        <item x="576"/>
        <item x="556"/>
        <item x="453"/>
        <item x="712"/>
        <item x="525"/>
        <item x="571"/>
        <item x="210"/>
        <item x="941"/>
        <item x="496"/>
        <item x="494"/>
        <item x="826"/>
        <item x="292"/>
        <item x="879"/>
        <item x="692"/>
        <item x="647"/>
        <item x="799"/>
        <item x="345"/>
        <item x="193"/>
        <item x="260"/>
        <item x="699"/>
        <item x="911"/>
        <item x="117"/>
        <item x="784"/>
        <item x="277"/>
        <item x="579"/>
        <item x="318"/>
        <item x="685"/>
        <item x="375"/>
        <item x="659"/>
        <item x="969"/>
        <item x="440"/>
        <item x="698"/>
        <item x="374"/>
        <item x="308"/>
        <item x="451"/>
        <item x="305"/>
        <item x="272"/>
        <item x="958"/>
        <item x="19"/>
        <item x="434"/>
        <item x="336"/>
        <item x="668"/>
        <item x="644"/>
        <item x="455"/>
        <item x="196"/>
        <item x="671"/>
        <item x="94"/>
        <item x="214"/>
        <item x="774"/>
        <item x="334"/>
        <item x="433"/>
        <item x="20"/>
        <item x="144"/>
        <item x="543"/>
        <item x="330"/>
        <item x="483"/>
        <item x="707"/>
        <item x="31"/>
        <item x="10"/>
        <item x="523"/>
        <item x="781"/>
        <item x="478"/>
        <item x="297"/>
        <item x="435"/>
        <item x="294"/>
        <item x="443"/>
        <item x="466"/>
        <item x="529"/>
        <item x="88"/>
        <item x="681"/>
        <item x="53"/>
        <item x="938"/>
        <item x="444"/>
        <item x="402"/>
        <item x="716"/>
        <item x="429"/>
        <item x="524"/>
        <item x="598"/>
        <item x="180"/>
        <item x="815"/>
        <item x="798"/>
        <item x="460"/>
        <item x="645"/>
        <item x="145"/>
        <item x="745"/>
        <item x="441"/>
        <item x="93"/>
        <item x="231"/>
        <item x="617"/>
        <item x="171"/>
        <item x="346"/>
        <item x="181"/>
        <item x="158"/>
        <item x="396"/>
        <item x="482"/>
        <item x="389"/>
        <item x="18"/>
        <item x="503"/>
        <item x="597"/>
        <item x="120"/>
        <item x="708"/>
        <item x="58"/>
        <item x="329"/>
        <item x="800"/>
        <item x="469"/>
        <item x="25"/>
        <item x="956"/>
        <item x="405"/>
        <item x="406"/>
        <item x="387"/>
        <item x="670"/>
        <item x="568"/>
        <item x="951"/>
        <item x="164"/>
        <item x="906"/>
        <item x="331"/>
        <item x="352"/>
        <item x="243"/>
        <item x="873"/>
        <item x="898"/>
        <item x="964"/>
        <item x="300"/>
        <item x="320"/>
        <item x="439"/>
        <item x="211"/>
        <item x="632"/>
        <item x="358"/>
        <item x="428"/>
        <item x="365"/>
        <item x="246"/>
        <item x="856"/>
        <item x="390"/>
        <item x="497"/>
        <item x="860"/>
        <item x="218"/>
        <item x="350"/>
        <item x="393"/>
        <item x="280"/>
        <item x="283"/>
        <item x="110"/>
        <item x="161"/>
        <item x="861"/>
        <item x="894"/>
        <item x="607"/>
        <item x="672"/>
        <item x="403"/>
        <item x="915"/>
        <item x="721"/>
        <item x="816"/>
        <item x="596"/>
        <item x="316"/>
        <item x="465"/>
        <item x="427"/>
        <item x="487"/>
        <item x="167"/>
        <item x="780"/>
        <item x="0"/>
        <item x="311"/>
        <item x="278"/>
        <item x="714"/>
        <item x="555"/>
        <item x="422"/>
        <item x="45"/>
        <item x="378"/>
        <item x="474"/>
        <item x="315"/>
        <item x="14"/>
        <item x="252"/>
        <item x="558"/>
        <item x="259"/>
        <item x="373"/>
        <item x="767"/>
        <item x="198"/>
        <item x="802"/>
        <item x="190"/>
        <item x="528"/>
        <item x="114"/>
        <item x="327"/>
        <item x="50"/>
        <item x="688"/>
        <item x="79"/>
        <item x="247"/>
        <item x="609"/>
        <item x="337"/>
        <item x="978"/>
        <item x="479"/>
        <item x="185"/>
        <item x="485"/>
        <item x="581"/>
        <item x="850"/>
        <item x="13"/>
        <item x="731"/>
        <item x="689"/>
        <item x="560"/>
        <item x="115"/>
        <item x="752"/>
        <item x="83"/>
        <item x="241"/>
        <item x="295"/>
        <item x="976"/>
        <item x="77"/>
        <item x="601"/>
        <item x="437"/>
        <item x="790"/>
        <item x="245"/>
        <item x="877"/>
        <item x="148"/>
        <item x="41"/>
        <item x="902"/>
        <item x="544"/>
        <item x="732"/>
        <item x="834"/>
        <item x="301"/>
        <item x="335"/>
        <item x="833"/>
        <item x="398"/>
        <item x="425"/>
        <item x="656"/>
        <item x="324"/>
        <item x="907"/>
        <item x="134"/>
        <item x="932"/>
        <item x="934"/>
        <item x="203"/>
        <item x="838"/>
        <item x="477"/>
        <item x="146"/>
        <item x="959"/>
        <item x="136"/>
        <item x="746"/>
        <item x="605"/>
        <item x="736"/>
        <item x="741"/>
        <item x="754"/>
        <item x="256"/>
        <item x="592"/>
        <item x="968"/>
        <item x="154"/>
        <item x="383"/>
        <item x="366"/>
        <item x="197"/>
        <item x="493"/>
        <item x="606"/>
        <item x="889"/>
        <item x="419"/>
        <item x="147"/>
        <item x="764"/>
        <item x="386"/>
        <item x="447"/>
        <item x="881"/>
        <item x="141"/>
        <item x="62"/>
        <item x="916"/>
        <item x="847"/>
        <item x="979"/>
        <item x="232"/>
        <item x="257"/>
        <item x="274"/>
        <item x="238"/>
        <item x="866"/>
        <item x="36"/>
        <item x="748"/>
        <item x="454"/>
        <item x="289"/>
        <item x="863"/>
        <item x="928"/>
        <item x="974"/>
        <item x="896"/>
        <item x="76"/>
        <item x="258"/>
        <item x="347"/>
        <item x="713"/>
        <item x="887"/>
        <item x="814"/>
        <item x="223"/>
        <item x="498"/>
        <item x="40"/>
        <item x="954"/>
        <item x="42"/>
        <item x="89"/>
        <item x="846"/>
        <item x="30"/>
        <item x="541"/>
        <item x="701"/>
        <item x="824"/>
        <item x="599"/>
        <item x="208"/>
        <item x="96"/>
        <item x="225"/>
        <item x="865"/>
        <item x="765"/>
        <item x="771"/>
        <item x="730"/>
        <item x="111"/>
        <item x="682"/>
        <item x="516"/>
        <item x="878"/>
        <item x="104"/>
        <item x="572"/>
        <item x="418"/>
        <item x="253"/>
        <item x="357"/>
        <item x="362"/>
        <item x="884"/>
        <item x="199"/>
        <item x="140"/>
        <item x="202"/>
        <item x="593"/>
        <item x="408"/>
        <item x="642"/>
        <item x="810"/>
        <item x="468"/>
        <item x="178"/>
        <item x="931"/>
        <item x="302"/>
        <item x="217"/>
        <item x="269"/>
        <item x="143"/>
        <item x="649"/>
        <item x="106"/>
        <item x="342"/>
        <item x="903"/>
        <item x="882"/>
        <item x="220"/>
        <item x="588"/>
        <item x="622"/>
        <item x="747"/>
        <item x="626"/>
        <item x="845"/>
        <item x="133"/>
        <item x="763"/>
        <item x="118"/>
        <item x="97"/>
        <item x="612"/>
        <item x="822"/>
        <item x="306"/>
        <item x="122"/>
        <item x="514"/>
        <item x="69"/>
        <item x="779"/>
        <item x="654"/>
        <item x="73"/>
        <item x="457"/>
        <item x="325"/>
        <item x="890"/>
        <item x="275"/>
        <item x="124"/>
        <item x="86"/>
        <item x="973"/>
        <item x="751"/>
        <item x="484"/>
        <item x="693"/>
        <item x="205"/>
        <item x="26"/>
        <item x="17"/>
        <item x="123"/>
        <item x="436"/>
        <item x="719"/>
        <item x="631"/>
        <item x="450"/>
        <item x="888"/>
        <item x="540"/>
        <item x="777"/>
        <item x="738"/>
        <item x="458"/>
        <item x="813"/>
        <item x="955"/>
        <item x="899"/>
        <item x="502"/>
        <item x="778"/>
        <item x="504"/>
        <item x="971"/>
        <item x="57"/>
        <item x="125"/>
        <item x="821"/>
        <item x="830"/>
        <item x="8"/>
        <item x="298"/>
        <item x="710"/>
        <item x="392"/>
        <item x="537"/>
        <item x="819"/>
        <item t="default"/>
      </items>
    </pivotField>
    <pivotField dataField="1" showAll="0">
      <items count="993">
        <item x="561"/>
        <item x="276"/>
        <item x="810"/>
        <item x="251"/>
        <item x="267"/>
        <item x="242"/>
        <item x="792"/>
        <item x="797"/>
        <item x="745"/>
        <item x="162"/>
        <item x="975"/>
        <item x="23"/>
        <item x="613"/>
        <item x="586"/>
        <item x="355"/>
        <item x="936"/>
        <item x="197"/>
        <item x="835"/>
        <item x="514"/>
        <item x="254"/>
        <item x="16"/>
        <item x="683"/>
        <item x="958"/>
        <item x="133"/>
        <item x="874"/>
        <item x="898"/>
        <item x="639"/>
        <item x="967"/>
        <item x="763"/>
        <item x="223"/>
        <item x="82"/>
        <item x="168"/>
        <item x="582"/>
        <item x="667"/>
        <item x="760"/>
        <item x="439"/>
        <item x="391"/>
        <item x="650"/>
        <item x="474"/>
        <item x="566"/>
        <item x="698"/>
        <item x="1"/>
        <item x="158"/>
        <item x="856"/>
        <item x="323"/>
        <item x="265"/>
        <item x="156"/>
        <item x="395"/>
        <item x="767"/>
        <item x="225"/>
        <item x="774"/>
        <item x="408"/>
        <item x="845"/>
        <item x="552"/>
        <item x="83"/>
        <item x="934"/>
        <item x="65"/>
        <item x="721"/>
        <item x="509"/>
        <item x="824"/>
        <item x="72"/>
        <item x="370"/>
        <item x="537"/>
        <item x="833"/>
        <item x="106"/>
        <item x="209"/>
        <item x="959"/>
        <item x="547"/>
        <item x="907"/>
        <item x="713"/>
        <item x="266"/>
        <item x="132"/>
        <item x="108"/>
        <item x="179"/>
        <item x="911"/>
        <item x="465"/>
        <item x="310"/>
        <item x="354"/>
        <item x="589"/>
        <item x="521"/>
        <item x="460"/>
        <item x="99"/>
        <item x="284"/>
        <item x="765"/>
        <item x="143"/>
        <item x="450"/>
        <item x="775"/>
        <item x="808"/>
        <item x="956"/>
        <item x="401"/>
        <item x="631"/>
        <item x="575"/>
        <item x="933"/>
        <item x="432"/>
        <item x="152"/>
        <item x="523"/>
        <item x="653"/>
        <item x="800"/>
        <item x="961"/>
        <item x="39"/>
        <item x="954"/>
        <item x="255"/>
        <item x="796"/>
        <item x="188"/>
        <item x="34"/>
        <item x="196"/>
        <item x="214"/>
        <item x="304"/>
        <item x="875"/>
        <item x="63"/>
        <item x="385"/>
        <item x="973"/>
        <item x="194"/>
        <item x="244"/>
        <item x="729"/>
        <item x="781"/>
        <item x="682"/>
        <item x="920"/>
        <item x="635"/>
        <item x="793"/>
        <item x="904"/>
        <item x="282"/>
        <item x="68"/>
        <item x="632"/>
        <item x="91"/>
        <item x="211"/>
        <item x="972"/>
        <item x="949"/>
        <item x="48"/>
        <item x="831"/>
        <item x="493"/>
        <item x="377"/>
        <item x="584"/>
        <item x="688"/>
        <item x="926"/>
        <item x="559"/>
        <item x="326"/>
        <item x="190"/>
        <item x="22"/>
        <item x="333"/>
        <item x="678"/>
        <item x="497"/>
        <item x="495"/>
        <item x="449"/>
        <item x="71"/>
        <item x="533"/>
        <item x="248"/>
        <item x="176"/>
        <item x="838"/>
        <item x="272"/>
        <item x="659"/>
        <item x="136"/>
        <item x="636"/>
        <item x="602"/>
        <item x="673"/>
        <item x="434"/>
        <item x="468"/>
        <item x="31"/>
        <item x="380"/>
        <item x="531"/>
        <item x="481"/>
        <item x="600"/>
        <item x="681"/>
        <item x="928"/>
        <item x="328"/>
        <item x="532"/>
        <item x="186"/>
        <item x="805"/>
        <item x="288"/>
        <item x="406"/>
        <item x="407"/>
        <item x="633"/>
        <item x="642"/>
        <item x="446"/>
        <item x="919"/>
        <item x="9"/>
        <item x="862"/>
        <item x="866"/>
        <item x="353"/>
        <item x="246"/>
        <item x="665"/>
        <item x="219"/>
        <item x="697"/>
        <item x="233"/>
        <item x="706"/>
        <item x="851"/>
        <item x="27"/>
        <item x="517"/>
        <item x="951"/>
        <item x="487"/>
        <item x="854"/>
        <item x="92"/>
        <item x="45"/>
        <item x="259"/>
        <item x="200"/>
        <item x="927"/>
        <item x="116"/>
        <item x="756"/>
        <item x="424"/>
        <item x="140"/>
        <item x="41"/>
        <item x="735"/>
        <item x="658"/>
        <item x="553"/>
        <item x="129"/>
        <item x="860"/>
        <item x="279"/>
        <item x="746"/>
        <item x="256"/>
        <item x="383"/>
        <item x="551"/>
        <item x="608"/>
        <item x="896"/>
        <item x="148"/>
        <item x="811"/>
        <item x="321"/>
        <item x="257"/>
        <item x="61"/>
        <item x="814"/>
        <item x="394"/>
        <item x="605"/>
        <item x="216"/>
        <item x="711"/>
        <item x="894"/>
        <item x="823"/>
        <item x="820"/>
        <item x="12"/>
        <item x="892"/>
        <item x="908"/>
        <item x="151"/>
        <item x="28"/>
        <item x="508"/>
        <item x="410"/>
        <item x="846"/>
        <item x="859"/>
        <item x="595"/>
        <item x="409"/>
        <item x="519"/>
        <item x="707"/>
        <item x="623"/>
        <item x="725"/>
        <item x="548"/>
        <item x="743"/>
        <item x="411"/>
        <item x="98"/>
        <item x="44"/>
        <item x="718"/>
        <item x="471"/>
        <item x="74"/>
        <item x="571"/>
        <item x="507"/>
        <item x="125"/>
        <item x="462"/>
        <item x="139"/>
        <item x="890"/>
        <item x="837"/>
        <item x="705"/>
        <item x="506"/>
        <item x="392"/>
        <item x="692"/>
        <item x="676"/>
        <item x="737"/>
        <item x="73"/>
        <item x="131"/>
        <item x="597"/>
        <item x="738"/>
        <item x="104"/>
        <item x="96"/>
        <item x="655"/>
        <item x="604"/>
        <item x="753"/>
        <item x="217"/>
        <item x="522"/>
        <item x="66"/>
        <item x="457"/>
        <item x="662"/>
        <item x="100"/>
        <item x="627"/>
        <item x="989"/>
        <item x="109"/>
        <item x="841"/>
        <item x="529"/>
        <item x="569"/>
        <item x="664"/>
        <item x="103"/>
        <item x="75"/>
        <item x="341"/>
        <item x="944"/>
        <item x="764"/>
        <item x="367"/>
        <item x="54"/>
        <item x="536"/>
        <item x="520"/>
        <item x="689"/>
        <item x="660"/>
        <item x="578"/>
        <item x="290"/>
        <item x="235"/>
        <item x="319"/>
        <item x="666"/>
        <item x="239"/>
        <item x="637"/>
        <item x="262"/>
        <item x="591"/>
        <item x="758"/>
        <item x="618"/>
        <item x="222"/>
        <item x="869"/>
        <item x="181"/>
        <item x="153"/>
        <item x="730"/>
        <item x="405"/>
        <item x="110"/>
        <item x="654"/>
        <item x="415"/>
        <item x="491"/>
        <item x="456"/>
        <item x="198"/>
        <item x="565"/>
        <item x="626"/>
        <item x="47"/>
        <item x="801"/>
        <item x="675"/>
        <item x="788"/>
        <item x="881"/>
        <item x="576"/>
        <item x="749"/>
        <item x="596"/>
        <item x="94"/>
        <item x="231"/>
        <item x="11"/>
        <item x="464"/>
        <item x="93"/>
        <item x="731"/>
        <item x="329"/>
        <item x="470"/>
        <item x="979"/>
        <item x="913"/>
        <item x="984"/>
        <item x="568"/>
        <item x="285"/>
        <item x="4"/>
        <item x="122"/>
        <item x="588"/>
        <item x="368"/>
        <item x="617"/>
        <item x="431"/>
        <item x="809"/>
        <item x="313"/>
        <item x="418"/>
        <item x="679"/>
        <item x="24"/>
        <item x="777"/>
        <item x="955"/>
        <item x="283"/>
        <item x="868"/>
        <item x="554"/>
        <item x="249"/>
        <item x="384"/>
        <item x="744"/>
        <item x="978"/>
        <item x="314"/>
        <item x="787"/>
        <item x="953"/>
        <item x="931"/>
        <item x="115"/>
        <item x="170"/>
        <item x="443"/>
        <item x="178"/>
        <item x="640"/>
        <item x="425"/>
        <item x="312"/>
        <item x="657"/>
        <item x="603"/>
        <item x="727"/>
        <item x="977"/>
        <item x="263"/>
        <item x="925"/>
        <item x="943"/>
        <item x="388"/>
        <item x="264"/>
        <item x="541"/>
        <item x="174"/>
        <item x="750"/>
        <item x="130"/>
        <item x="946"/>
        <item x="85"/>
        <item x="167"/>
        <item x="286"/>
        <item x="638"/>
        <item x="794"/>
        <item x="117"/>
        <item x="680"/>
        <item x="871"/>
        <item x="363"/>
        <item x="757"/>
        <item x="761"/>
        <item x="564"/>
        <item x="587"/>
        <item x="873"/>
        <item x="36"/>
        <item x="382"/>
        <item x="67"/>
        <item x="748"/>
        <item x="843"/>
        <item x="937"/>
        <item x="535"/>
        <item x="641"/>
        <item x="616"/>
        <item x="747"/>
        <item x="921"/>
        <item x="356"/>
        <item x="686"/>
        <item x="210"/>
        <item x="250"/>
        <item x="76"/>
        <item x="628"/>
        <item x="492"/>
        <item x="303"/>
        <item x="733"/>
        <item x="253"/>
        <item x="974"/>
        <item x="962"/>
        <item x="141"/>
        <item x="195"/>
        <item x="469"/>
        <item x="180"/>
        <item x="842"/>
        <item x="427"/>
        <item x="271"/>
        <item x="221"/>
        <item x="220"/>
        <item x="671"/>
        <item x="751"/>
        <item x="850"/>
        <item x="119"/>
        <item x="848"/>
        <item x="202"/>
        <item x="828"/>
        <item x="123"/>
        <item x="877"/>
        <item x="755"/>
        <item x="207"/>
        <item x="883"/>
        <item x="722"/>
        <item x="165"/>
        <item x="567"/>
        <item x="371"/>
        <item x="782"/>
        <item x="742"/>
        <item x="965"/>
        <item x="364"/>
        <item x="52"/>
        <item x="779"/>
        <item x="726"/>
        <item x="473"/>
        <item x="298"/>
        <item x="619"/>
        <item x="528"/>
        <item x="621"/>
        <item x="812"/>
        <item x="663"/>
        <item x="479"/>
        <item x="555"/>
        <item x="511"/>
        <item x="855"/>
        <item x="294"/>
        <item x="512"/>
        <item x="947"/>
        <item x="668"/>
        <item x="500"/>
        <item x="430"/>
        <item x="526"/>
        <item x="957"/>
        <item x="461"/>
        <item x="185"/>
        <item x="146"/>
        <item x="620"/>
        <item x="818"/>
        <item x="736"/>
        <item x="577"/>
        <item x="203"/>
        <item x="166"/>
        <item x="720"/>
        <item x="261"/>
        <item x="3"/>
        <item x="939"/>
        <item x="273"/>
        <item x="159"/>
        <item x="540"/>
        <item x="863"/>
        <item x="932"/>
        <item x="938"/>
        <item x="982"/>
        <item x="592"/>
        <item x="213"/>
        <item x="208"/>
        <item x="237"/>
        <item x="472"/>
        <item x="503"/>
        <item x="917"/>
        <item x="163"/>
        <item x="550"/>
        <item x="15"/>
        <item x="952"/>
        <item x="560"/>
        <item x="369"/>
        <item x="772"/>
        <item x="229"/>
        <item x="815"/>
        <item x="351"/>
        <item x="120"/>
        <item x="193"/>
        <item x="580"/>
        <item x="50"/>
        <item x="80"/>
        <item x="612"/>
        <item x="912"/>
        <item x="5"/>
        <item x="480"/>
        <item x="583"/>
        <item x="734"/>
        <item x="562"/>
        <item x="714"/>
        <item x="295"/>
        <item x="309"/>
        <item x="438"/>
        <item x="453"/>
        <item x="893"/>
        <item x="909"/>
        <item x="301"/>
        <item x="32"/>
        <item x="324"/>
        <item x="861"/>
        <item x="844"/>
        <item x="496"/>
        <item x="887"/>
        <item x="60"/>
        <item x="37"/>
        <item x="799"/>
        <item x="773"/>
        <item x="915"/>
        <item x="29"/>
        <item x="296"/>
        <item x="305"/>
        <item x="741"/>
        <item x="510"/>
        <item x="513"/>
        <item x="361"/>
        <item x="752"/>
        <item x="455"/>
        <item x="732"/>
        <item x="870"/>
        <item x="330"/>
        <item x="127"/>
        <item x="299"/>
        <item x="436"/>
        <item x="89"/>
        <item x="490"/>
        <item x="21"/>
        <item x="349"/>
        <item x="226"/>
        <item x="549"/>
        <item x="184"/>
        <item x="776"/>
        <item x="646"/>
        <item x="685"/>
        <item x="49"/>
        <item x="611"/>
        <item x="924"/>
        <item x="483"/>
        <item x="599"/>
        <item x="614"/>
        <item x="900"/>
        <item x="966"/>
        <item x="813"/>
        <item x="154"/>
        <item x="387"/>
        <item x="768"/>
        <item x="960"/>
        <item x="372"/>
        <item x="622"/>
        <item x="858"/>
        <item x="339"/>
        <item x="306"/>
        <item x="43"/>
        <item x="656"/>
        <item x="644"/>
        <item x="287"/>
        <item x="26"/>
        <item x="400"/>
        <item x="826"/>
        <item x="440"/>
        <item x="376"/>
        <item x="317"/>
        <item x="2"/>
        <item x="945"/>
        <item x="504"/>
        <item x="864"/>
        <item x="86"/>
        <item x="81"/>
        <item x="381"/>
        <item x="454"/>
        <item x="307"/>
        <item x="728"/>
        <item x="648"/>
        <item x="901"/>
        <item x="802"/>
        <item x="950"/>
        <item x="515"/>
        <item x="624"/>
        <item x="878"/>
        <item x="593"/>
        <item x="964"/>
        <item x="277"/>
        <item x="51"/>
        <item x="690"/>
        <item x="585"/>
        <item x="247"/>
        <item x="661"/>
        <item x="780"/>
        <item x="236"/>
        <item x="348"/>
        <item x="538"/>
        <item x="476"/>
        <item x="463"/>
        <item x="55"/>
        <item x="579"/>
        <item x="829"/>
        <item x="79"/>
        <item x="435"/>
        <item x="161"/>
        <item x="421"/>
        <item x="413"/>
        <item x="215"/>
        <item x="834"/>
        <item x="398"/>
        <item x="699"/>
        <item x="426"/>
        <item x="798"/>
        <item x="135"/>
        <item x="709"/>
        <item x="433"/>
        <item x="138"/>
        <item x="172"/>
        <item x="630"/>
        <item x="228"/>
        <item x="155"/>
        <item x="445"/>
        <item x="524"/>
        <item x="268"/>
        <item x="150"/>
        <item x="652"/>
        <item x="240"/>
        <item x="544"/>
        <item x="322"/>
        <item x="344"/>
        <item x="806"/>
        <item x="183"/>
        <item x="396"/>
        <item x="389"/>
        <item x="572"/>
        <item x="771"/>
        <item x="693"/>
        <item x="723"/>
        <item x="986"/>
        <item x="422"/>
        <item x="669"/>
        <item x="171"/>
        <item x="397"/>
        <item x="281"/>
        <item x="791"/>
        <item x="270"/>
        <item x="291"/>
        <item x="46"/>
        <item x="230"/>
        <item x="56"/>
        <item x="399"/>
        <item x="59"/>
        <item x="177"/>
        <item x="976"/>
        <item x="97"/>
        <item x="832"/>
        <item x="447"/>
        <item x="379"/>
        <item x="804"/>
        <item x="189"/>
        <item x="987"/>
        <item x="489"/>
        <item x="940"/>
        <item x="867"/>
        <item x="269"/>
        <item x="7"/>
        <item x="563"/>
        <item x="651"/>
        <item x="902"/>
        <item x="687"/>
        <item x="889"/>
        <item x="477"/>
        <item x="417"/>
        <item x="134"/>
        <item x="615"/>
        <item x="516"/>
        <item x="70"/>
        <item x="784"/>
        <item x="704"/>
        <item x="311"/>
        <item x="278"/>
        <item x="275"/>
        <item x="985"/>
        <item x="485"/>
        <item x="124"/>
        <item x="14"/>
        <item x="114"/>
        <item x="790"/>
        <item x="819"/>
        <item x="906"/>
        <item x="192"/>
        <item x="930"/>
        <item x="33"/>
        <item x="327"/>
        <item x="8"/>
        <item x="64"/>
        <item x="942"/>
        <item x="484"/>
        <item x="825"/>
        <item x="534"/>
        <item x="359"/>
        <item x="78"/>
        <item x="88"/>
        <item x="293"/>
        <item x="795"/>
        <item x="245"/>
        <item x="182"/>
        <item x="416"/>
        <item x="821"/>
        <item x="38"/>
        <item x="803"/>
        <item x="338"/>
        <item x="442"/>
        <item x="941"/>
        <item x="876"/>
        <item x="865"/>
        <item x="205"/>
        <item x="234"/>
        <item x="849"/>
        <item x="128"/>
        <item x="677"/>
        <item x="121"/>
        <item x="980"/>
        <item x="164"/>
        <item x="556"/>
        <item x="672"/>
        <item x="570"/>
        <item x="769"/>
        <item x="292"/>
        <item x="916"/>
        <item x="888"/>
        <item x="243"/>
        <item x="853"/>
        <item x="414"/>
        <item x="701"/>
        <item x="696"/>
        <item x="289"/>
        <item x="702"/>
        <item x="318"/>
        <item x="358"/>
        <item x="429"/>
        <item x="482"/>
        <item x="69"/>
        <item x="899"/>
        <item x="347"/>
        <item x="102"/>
        <item x="502"/>
        <item x="40"/>
        <item x="350"/>
        <item x="817"/>
        <item x="111"/>
        <item x="227"/>
        <item x="830"/>
        <item x="601"/>
        <item x="35"/>
        <item x="19"/>
        <item x="316"/>
        <item x="428"/>
        <item x="770"/>
        <item x="6"/>
        <item x="95"/>
        <item x="412"/>
        <item x="739"/>
        <item x="545"/>
        <item x="201"/>
        <item x="423"/>
        <item x="10"/>
        <item x="762"/>
        <item x="847"/>
        <item x="297"/>
        <item x="530"/>
        <item x="684"/>
        <item x="403"/>
        <item x="857"/>
        <item x="206"/>
        <item x="558"/>
        <item x="948"/>
        <item x="175"/>
        <item x="332"/>
        <item x="754"/>
        <item x="884"/>
        <item x="935"/>
        <item x="649"/>
        <item x="57"/>
        <item x="840"/>
        <item x="58"/>
        <item x="335"/>
        <item x="766"/>
        <item x="882"/>
        <item x="25"/>
        <item x="260"/>
        <item x="501"/>
        <item x="789"/>
        <item x="914"/>
        <item x="581"/>
        <item x="969"/>
        <item x="137"/>
        <item x="375"/>
        <item x="607"/>
        <item x="708"/>
        <item x="880"/>
        <item x="759"/>
        <item x="981"/>
        <item x="191"/>
        <item x="441"/>
        <item x="366"/>
        <item x="970"/>
        <item x="879"/>
        <item x="374"/>
        <item x="308"/>
        <item x="452"/>
        <item x="923"/>
        <item x="778"/>
        <item x="498"/>
        <item x="670"/>
        <item x="274"/>
        <item x="238"/>
        <item x="145"/>
        <item x="258"/>
        <item x="610"/>
        <item x="674"/>
        <item x="466"/>
        <item x="499"/>
        <item x="444"/>
        <item x="467"/>
        <item x="378"/>
        <item x="315"/>
        <item x="527"/>
        <item x="694"/>
        <item x="574"/>
        <item x="929"/>
        <item x="362"/>
        <item x="187"/>
        <item x="346"/>
        <item x="918"/>
        <item x="160"/>
        <item x="101"/>
        <item x="691"/>
        <item x="144"/>
        <item x="629"/>
        <item x="360"/>
        <item x="331"/>
        <item x="839"/>
        <item x="897"/>
        <item x="87"/>
        <item x="113"/>
        <item x="606"/>
        <item x="300"/>
        <item x="343"/>
        <item x="478"/>
        <item x="895"/>
        <item x="147"/>
        <item x="340"/>
        <item x="645"/>
        <item x="712"/>
        <item x="199"/>
        <item x="420"/>
        <item x="525"/>
        <item x="786"/>
        <item x="573"/>
        <item x="212"/>
        <item x="53"/>
        <item x="598"/>
        <item x="488"/>
        <item x="169"/>
        <item x="886"/>
        <item x="557"/>
        <item x="903"/>
        <item x="345"/>
        <item x="475"/>
        <item x="118"/>
        <item x="252"/>
        <item x="717"/>
        <item x="18"/>
        <item x="543"/>
        <item x="13"/>
        <item x="700"/>
        <item x="112"/>
        <item x="885"/>
        <item x="609"/>
        <item x="968"/>
        <item x="336"/>
        <item x="320"/>
        <item x="334"/>
        <item x="20"/>
        <item x="365"/>
        <item x="325"/>
        <item x="594"/>
        <item x="157"/>
        <item x="402"/>
        <item x="719"/>
        <item x="451"/>
        <item x="971"/>
        <item x="404"/>
        <item x="922"/>
        <item x="386"/>
        <item x="783"/>
        <item x="983"/>
        <item x="448"/>
        <item x="785"/>
        <item x="991"/>
        <item x="716"/>
        <item x="173"/>
        <item x="539"/>
        <item x="373"/>
        <item x="505"/>
        <item x="710"/>
        <item x="337"/>
        <item x="715"/>
        <item x="224"/>
        <item x="352"/>
        <item x="42"/>
        <item x="90"/>
        <item x="905"/>
        <item x="84"/>
        <item x="703"/>
        <item x="149"/>
        <item x="105"/>
        <item x="546"/>
        <item x="891"/>
        <item x="390"/>
        <item x="643"/>
        <item x="816"/>
        <item x="218"/>
        <item x="647"/>
        <item x="393"/>
        <item x="280"/>
        <item x="740"/>
        <item x="724"/>
        <item x="822"/>
        <item x="494"/>
        <item x="0"/>
        <item x="437"/>
        <item x="142"/>
        <item x="634"/>
        <item x="232"/>
        <item x="459"/>
        <item x="807"/>
        <item x="126"/>
        <item x="990"/>
        <item x="77"/>
        <item x="486"/>
        <item x="241"/>
        <item x="988"/>
        <item x="963"/>
        <item x="30"/>
        <item x="357"/>
        <item x="204"/>
        <item x="302"/>
        <item x="107"/>
        <item x="910"/>
        <item x="62"/>
        <item x="458"/>
        <item x="17"/>
        <item x="542"/>
        <item x="827"/>
        <item x="836"/>
        <item x="852"/>
        <item x="872"/>
        <item x="518"/>
        <item x="419"/>
        <item x="342"/>
        <item x="590"/>
        <item x="625"/>
        <item x="695"/>
        <item t="default"/>
      </items>
    </pivotField>
  </pivotFields>
  <rowFields count="1">
    <field x="0"/>
  </rowFields>
  <rowItems count="6">
    <i>
      <x/>
    </i>
    <i>
      <x v="1"/>
    </i>
    <i>
      <x v="2"/>
    </i>
    <i>
      <x v="3"/>
    </i>
    <i>
      <x v="4"/>
    </i>
    <i t="grand">
      <x/>
    </i>
  </rowItems>
  <colFields count="1">
    <field x="3"/>
  </colFields>
  <colItems count="7">
    <i>
      <x/>
    </i>
    <i>
      <x v="1"/>
    </i>
    <i>
      <x v="2"/>
    </i>
    <i>
      <x v="3"/>
    </i>
    <i>
      <x v="4"/>
    </i>
    <i>
      <x v="5"/>
    </i>
    <i t="grand">
      <x/>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4D8F8E-A2F2-4081-A6EA-6B8E95AA5B5A}"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62:C65" firstHeaderRow="1" firstDataRow="2" firstDataCol="1"/>
  <pivotFields count="13">
    <pivotField showAll="0">
      <items count="11">
        <item x="0"/>
        <item h="1" x="1"/>
        <item h="1" x="2"/>
        <item h="1" x="3"/>
        <item h="1" x="4"/>
        <item h="1" x="5"/>
        <item h="1" x="6"/>
        <item h="1" x="7"/>
        <item h="1" x="8"/>
        <item h="1" x="9"/>
        <item t="default"/>
      </items>
    </pivotField>
    <pivotField showAll="0"/>
    <pivotField axis="axisCol" showAll="0">
      <items count="3">
        <item x="1"/>
        <item x="0"/>
        <item t="default"/>
      </items>
    </pivotField>
    <pivotField showAll="0">
      <items count="7">
        <item x="0"/>
        <item x="2"/>
        <item x="1"/>
        <item x="3"/>
        <item x="5"/>
        <item x="4"/>
        <item t="default"/>
      </items>
    </pivotField>
    <pivotField showAll="0"/>
    <pivotField axis="axisRow" showAll="0">
      <items count="5">
        <item x="0"/>
        <item x="2"/>
        <item x="1"/>
        <item x="3"/>
        <item t="default"/>
      </items>
    </pivotField>
    <pivotField showAll="0">
      <items count="11">
        <item x="8"/>
        <item x="1"/>
        <item x="5"/>
        <item x="3"/>
        <item x="7"/>
        <item x="0"/>
        <item x="4"/>
        <item x="6"/>
        <item x="2"/>
        <item x="9"/>
        <item t="default"/>
      </items>
    </pivotField>
    <pivotField dataField="1" numFmtId="170" showAll="0"/>
    <pivotField numFmtId="170" showAll="0"/>
    <pivotField numFmtId="170" showAll="0"/>
    <pivotField numFmtId="10" showAll="0"/>
    <pivotField showAll="0"/>
    <pivotField showAll="0">
      <items count="4">
        <item x="1"/>
        <item x="0"/>
        <item x="2"/>
        <item t="default"/>
      </items>
    </pivotField>
  </pivotFields>
  <rowFields count="1">
    <field x="5"/>
  </rowFields>
  <rowItems count="2">
    <i>
      <x/>
    </i>
    <i t="grand">
      <x/>
    </i>
  </rowItems>
  <colFields count="1">
    <field x="2"/>
  </colFields>
  <colItems count="2">
    <i>
      <x v="1"/>
    </i>
    <i t="grand">
      <x/>
    </i>
  </colItems>
  <dataFields count="1">
    <dataField name="Sum of Annual Salary " fld="7" baseField="0" baseItem="0" numFmtId="170"/>
  </dataFields>
  <chartFormats count="8">
    <chartFormat chart="38" format="0" series="1">
      <pivotArea type="data" outline="0" fieldPosition="0">
        <references count="2">
          <reference field="4294967294" count="1" selected="0">
            <x v="0"/>
          </reference>
          <reference field="2" count="1" selected="0">
            <x v="0"/>
          </reference>
        </references>
      </pivotArea>
    </chartFormat>
    <chartFormat chart="38" format="1" series="1">
      <pivotArea type="data" outline="0" fieldPosition="0">
        <references count="2">
          <reference field="4294967294" count="1" selected="0">
            <x v="0"/>
          </reference>
          <reference field="2" count="1" selected="0">
            <x v="1"/>
          </reference>
        </references>
      </pivotArea>
    </chartFormat>
    <chartFormat chart="41" format="0" series="1">
      <pivotArea type="data" outline="0" fieldPosition="0">
        <references count="2">
          <reference field="4294967294" count="1" selected="0">
            <x v="0"/>
          </reference>
          <reference field="2" count="1" selected="0">
            <x v="0"/>
          </reference>
        </references>
      </pivotArea>
    </chartFormat>
    <chartFormat chart="41" format="1" series="1">
      <pivotArea type="data" outline="0" fieldPosition="0">
        <references count="2">
          <reference field="4294967294" count="1" selected="0">
            <x v="0"/>
          </reference>
          <reference field="2" count="1" selected="0">
            <x v="1"/>
          </reference>
        </references>
      </pivotArea>
    </chartFormat>
    <chartFormat chart="43" format="2" series="1">
      <pivotArea type="data" outline="0" fieldPosition="0">
        <references count="2">
          <reference field="4294967294" count="1" selected="0">
            <x v="0"/>
          </reference>
          <reference field="2" count="1" selected="0">
            <x v="0"/>
          </reference>
        </references>
      </pivotArea>
    </chartFormat>
    <chartFormat chart="43" format="3" series="1">
      <pivotArea type="data" outline="0" fieldPosition="0">
        <references count="2">
          <reference field="4294967294" count="1" selected="0">
            <x v="0"/>
          </reference>
          <reference field="2" count="1" selected="0">
            <x v="1"/>
          </reference>
        </references>
      </pivotArea>
    </chartFormat>
    <chartFormat chart="44" format="4" series="1">
      <pivotArea type="data" outline="0" fieldPosition="0">
        <references count="2">
          <reference field="4294967294" count="1" selected="0">
            <x v="0"/>
          </reference>
          <reference field="2" count="1" selected="0">
            <x v="0"/>
          </reference>
        </references>
      </pivotArea>
    </chartFormat>
    <chartFormat chart="4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A04DFD-4D43-4467-BCDA-8051F8C3A593}" name="EXPERIENCE_ACHIEVEMENT"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53:B55" firstHeaderRow="1" firstDataRow="1" firstDataCol="1"/>
  <pivotFields count="13">
    <pivotField showAll="0">
      <items count="11">
        <item x="0"/>
        <item h="1" x="1"/>
        <item h="1" x="2"/>
        <item h="1" x="3"/>
        <item h="1" x="4"/>
        <item h="1" x="5"/>
        <item h="1" x="6"/>
        <item h="1" x="7"/>
        <item h="1" x="8"/>
        <item h="1" x="9"/>
        <item t="default"/>
      </items>
    </pivotField>
    <pivotField showAll="0"/>
    <pivotField showAll="0">
      <items count="3">
        <item x="1"/>
        <item x="0"/>
        <item t="default"/>
      </items>
    </pivotField>
    <pivotField showAll="0">
      <items count="7">
        <item x="0"/>
        <item x="2"/>
        <item x="1"/>
        <item x="3"/>
        <item x="5"/>
        <item x="4"/>
        <item t="default"/>
      </items>
    </pivotField>
    <pivotField showAll="0"/>
    <pivotField showAll="0">
      <items count="5">
        <item x="0"/>
        <item x="2"/>
        <item x="1"/>
        <item x="3"/>
        <item t="default"/>
      </items>
    </pivotField>
    <pivotField showAll="0">
      <items count="11">
        <item x="8"/>
        <item x="1"/>
        <item x="5"/>
        <item x="3"/>
        <item x="7"/>
        <item x="0"/>
        <item x="4"/>
        <item x="6"/>
        <item x="2"/>
        <item x="9"/>
        <item t="default"/>
      </items>
    </pivotField>
    <pivotField numFmtId="170" showAll="0"/>
    <pivotField numFmtId="170" showAll="0"/>
    <pivotField numFmtId="170" showAll="0"/>
    <pivotField dataField="1" numFmtId="10" showAll="0"/>
    <pivotField showAll="0"/>
    <pivotField axis="axisRow" showAll="0">
      <items count="4">
        <item x="1"/>
        <item x="0"/>
        <item x="2"/>
        <item t="default"/>
      </items>
    </pivotField>
  </pivotFields>
  <rowFields count="1">
    <field x="12"/>
  </rowFields>
  <rowItems count="2">
    <i>
      <x v="1"/>
    </i>
    <i t="grand">
      <x/>
    </i>
  </rowItems>
  <colItems count="1">
    <i/>
  </colItems>
  <dataFields count="1">
    <dataField name="Sum of Achievement" fld="10" showDataAs="percentOfTotal" baseField="0" baseItem="0" numFmtId="10"/>
  </dataFields>
  <chartFormats count="4">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12" count="1" selected="0">
            <x v="2"/>
          </reference>
        </references>
      </pivotArea>
    </chartFormat>
    <chartFormat chart="36" format="4">
      <pivotArea type="data" outline="0" fieldPosition="0">
        <references count="2">
          <reference field="4294967294" count="1" selected="0">
            <x v="0"/>
          </reference>
          <reference field="12" count="1" selected="0">
            <x v="1"/>
          </reference>
        </references>
      </pivotArea>
    </chartFormat>
    <chartFormat chart="36" format="5">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5E0F29B-CA97-4776-8170-2025ABDFDF97}"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45:B47" firstHeaderRow="1" firstDataRow="1" firstDataCol="1"/>
  <pivotFields count="13">
    <pivotField showAll="0">
      <items count="11">
        <item x="0"/>
        <item h="1" x="1"/>
        <item h="1" x="2"/>
        <item h="1" x="3"/>
        <item h="1" x="4"/>
        <item h="1" x="5"/>
        <item h="1" x="6"/>
        <item h="1" x="7"/>
        <item h="1" x="8"/>
        <item h="1" x="9"/>
        <item t="default"/>
      </items>
    </pivotField>
    <pivotField showAll="0"/>
    <pivotField axis="axisRow" dataField="1" showAll="0">
      <items count="3">
        <item x="1"/>
        <item x="0"/>
        <item t="default"/>
      </items>
    </pivotField>
    <pivotField showAll="0">
      <items count="7">
        <item x="0"/>
        <item x="2"/>
        <item x="1"/>
        <item x="3"/>
        <item x="5"/>
        <item x="4"/>
        <item t="default"/>
      </items>
    </pivotField>
    <pivotField showAll="0"/>
    <pivotField showAll="0">
      <items count="5">
        <item x="0"/>
        <item x="2"/>
        <item x="1"/>
        <item x="3"/>
        <item t="default"/>
      </items>
    </pivotField>
    <pivotField showAll="0"/>
    <pivotField numFmtId="170" showAll="0"/>
    <pivotField numFmtId="170" showAll="0"/>
    <pivotField numFmtId="170" showAll="0"/>
    <pivotField numFmtId="10" showAll="0"/>
    <pivotField showAll="0"/>
    <pivotField showAll="0"/>
  </pivotFields>
  <rowFields count="1">
    <field x="2"/>
  </rowFields>
  <rowItems count="2">
    <i>
      <x v="1"/>
    </i>
    <i t="grand">
      <x/>
    </i>
  </rowItems>
  <colItems count="1">
    <i/>
  </colItems>
  <dataFields count="1">
    <dataField name="Count of Gender" fld="2" subtotal="count" showDataAs="percentOfTotal" baseField="0" baseItem="0" numFmtId="10"/>
  </dataFields>
  <formats count="2">
    <format dxfId="11">
      <pivotArea collapsedLevelsAreSubtotals="1" fieldPosition="0">
        <references count="1">
          <reference field="2" count="1">
            <x v="0"/>
          </reference>
        </references>
      </pivotArea>
    </format>
    <format dxfId="10">
      <pivotArea collapsedLevelsAreSubtotals="1" fieldPosition="0">
        <references count="1">
          <reference field="2" count="1">
            <x v="1"/>
          </reference>
        </references>
      </pivotArea>
    </format>
  </formats>
  <chartFormats count="3">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2" count="1" selected="0">
            <x v="0"/>
          </reference>
        </references>
      </pivotArea>
    </chartFormat>
    <chartFormat chart="29"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7BEB0D5-00DF-477F-A9EF-8E5DCBD97C3F}" name="ROLE_ACHIVEMENT"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5:B37" firstHeaderRow="1" firstDataRow="1" firstDataCol="1"/>
  <pivotFields count="13">
    <pivotField showAll="0">
      <items count="11">
        <item x="0"/>
        <item h="1" x="1"/>
        <item h="1" x="2"/>
        <item h="1" x="3"/>
        <item h="1" x="4"/>
        <item h="1" x="5"/>
        <item h="1" x="6"/>
        <item h="1" x="7"/>
        <item h="1" x="8"/>
        <item h="1" x="9"/>
        <item t="default"/>
      </items>
    </pivotField>
    <pivotField showAll="0"/>
    <pivotField showAll="0"/>
    <pivotField showAll="0">
      <items count="7">
        <item x="0"/>
        <item x="2"/>
        <item x="1"/>
        <item x="3"/>
        <item x="5"/>
        <item x="4"/>
        <item t="default"/>
      </items>
    </pivotField>
    <pivotField showAll="0"/>
    <pivotField axis="axisRow" showAll="0">
      <items count="5">
        <item x="0"/>
        <item x="2"/>
        <item x="1"/>
        <item x="3"/>
        <item t="default"/>
      </items>
    </pivotField>
    <pivotField showAll="0"/>
    <pivotField numFmtId="170" showAll="0"/>
    <pivotField numFmtId="170" showAll="0"/>
    <pivotField dataField="1" numFmtId="170" showAll="0"/>
    <pivotField numFmtId="10" showAll="0"/>
    <pivotField showAll="0"/>
    <pivotField showAll="0"/>
  </pivotFields>
  <rowFields count="1">
    <field x="5"/>
  </rowFields>
  <rowItems count="2">
    <i>
      <x/>
    </i>
    <i t="grand">
      <x/>
    </i>
  </rowItems>
  <colItems count="1">
    <i/>
  </colItems>
  <dataFields count="1">
    <dataField name="Sum of Achieved" fld="9" showDataAs="percentOfTotal" baseField="0" baseItem="0" numFmtId="10"/>
  </dataFields>
  <chartFormats count="3">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5" count="1" selected="0">
            <x v="2"/>
          </reference>
        </references>
      </pivotArea>
    </chartFormat>
    <chartFormat chart="24" format="4">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63D27D8-0C09-49CA-94A7-FE1211F0A3AC}" name="PivotTable4" cacheId="1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A28:A30" firstHeaderRow="1" firstDataRow="1" firstDataCol="1"/>
  <pivotFields count="13">
    <pivotField axis="axisRow" showAll="0">
      <items count="11">
        <item x="0"/>
        <item h="1" x="1"/>
        <item h="1" x="2"/>
        <item h="1" x="3"/>
        <item h="1" x="4"/>
        <item h="1" x="5"/>
        <item h="1" x="6"/>
        <item h="1" x="7"/>
        <item h="1" x="8"/>
        <item h="1" x="9"/>
        <item t="default"/>
      </items>
    </pivotField>
    <pivotField showAll="0"/>
    <pivotField showAll="0"/>
    <pivotField showAll="0">
      <items count="7">
        <item x="0"/>
        <item x="2"/>
        <item x="1"/>
        <item x="3"/>
        <item x="5"/>
        <item x="4"/>
        <item t="default"/>
      </items>
    </pivotField>
    <pivotField showAll="0"/>
    <pivotField showAll="0"/>
    <pivotField showAll="0"/>
    <pivotField numFmtId="170" showAll="0"/>
    <pivotField numFmtId="170" showAll="0"/>
    <pivotField numFmtId="170" showAll="0"/>
    <pivotField numFmtId="10" showAll="0"/>
    <pivotField showAll="0"/>
    <pivotField showAll="0"/>
  </pivotFields>
  <rowFields count="1">
    <field x="0"/>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7F2F7DC-0B80-46CB-ADA0-3E460FCCBEA7}" name="TARGET VS SALES"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6:C18" firstHeaderRow="0" firstDataRow="1" firstDataCol="1"/>
  <pivotFields count="13">
    <pivotField showAll="0">
      <items count="11">
        <item x="0"/>
        <item h="1" x="1"/>
        <item h="1" x="2"/>
        <item h="1" x="3"/>
        <item h="1" x="4"/>
        <item h="1" x="5"/>
        <item h="1" x="6"/>
        <item h="1" x="7"/>
        <item h="1" x="8"/>
        <item h="1" x="9"/>
        <item t="default"/>
      </items>
    </pivotField>
    <pivotField showAll="0"/>
    <pivotField showAll="0"/>
    <pivotField axis="axisRow" showAll="0">
      <items count="7">
        <item x="0"/>
        <item x="2"/>
        <item x="1"/>
        <item x="3"/>
        <item x="5"/>
        <item x="4"/>
        <item t="default"/>
      </items>
    </pivotField>
    <pivotField showAll="0"/>
    <pivotField showAll="0"/>
    <pivotField showAll="0"/>
    <pivotField numFmtId="170" showAll="0"/>
    <pivotField dataField="1" numFmtId="170" showAll="0"/>
    <pivotField dataField="1" numFmtId="170" showAll="0"/>
    <pivotField numFmtId="10" showAll="0"/>
    <pivotField showAll="0"/>
    <pivotField showAll="0"/>
  </pivotFields>
  <rowFields count="1">
    <field x="3"/>
  </rowFields>
  <rowItems count="2">
    <i>
      <x/>
    </i>
    <i t="grand">
      <x/>
    </i>
  </rowItems>
  <colFields count="1">
    <field x="-2"/>
  </colFields>
  <colItems count="2">
    <i>
      <x/>
    </i>
    <i i="1">
      <x v="1"/>
    </i>
  </colItems>
  <dataFields count="2">
    <dataField name="Target." fld="8" baseField="3" baseItem="0" numFmtId="170"/>
    <dataField name="Sum" fld="9" baseField="0" baseItem="0" numFmtId="170"/>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F64E5B0-8C9F-4CB6-92F5-6251959F81CA}"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B7" firstHeaderRow="1" firstDataRow="1" firstDataCol="1"/>
  <pivotFields count="13">
    <pivotField showAll="0">
      <items count="11">
        <item x="0"/>
        <item h="1" x="1"/>
        <item h="1" x="2"/>
        <item h="1" x="3"/>
        <item h="1" x="4"/>
        <item h="1" x="5"/>
        <item h="1" x="6"/>
        <item h="1" x="7"/>
        <item h="1" x="8"/>
        <item h="1" x="9"/>
        <item t="default"/>
      </items>
    </pivotField>
    <pivotField showAll="0"/>
    <pivotField showAll="0"/>
    <pivotField axis="axisRow" showAll="0">
      <items count="7">
        <item x="0"/>
        <item x="2"/>
        <item x="1"/>
        <item x="3"/>
        <item x="5"/>
        <item x="4"/>
        <item t="default"/>
      </items>
    </pivotField>
    <pivotField showAll="0"/>
    <pivotField showAll="0"/>
    <pivotField showAll="0"/>
    <pivotField dataField="1" numFmtId="170" showAll="0"/>
    <pivotField numFmtId="170" showAll="0"/>
    <pivotField numFmtId="170" showAll="0"/>
    <pivotField numFmtId="10" showAll="0"/>
    <pivotField showAll="0"/>
    <pivotField showAll="0"/>
  </pivotFields>
  <rowFields count="1">
    <field x="3"/>
  </rowFields>
  <rowItems count="2">
    <i>
      <x/>
    </i>
    <i t="grand">
      <x/>
    </i>
  </rowItems>
  <colItems count="1">
    <i/>
  </colItems>
  <dataFields count="1">
    <dataField name="Average of Annual Salary " fld="7" subtotal="average" baseField="0" baseItem="0" numFmtId="17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75CA480-EF8A-452D-BB95-0D2B21CB72F0}" autoFormatId="16" applyNumberFormats="0" applyBorderFormats="0" applyFontFormats="0" applyPatternFormats="0" applyAlignmentFormats="0" applyWidthHeightFormats="0">
  <queryTableRefresh nextId="12">
    <queryTableFields count="11">
      <queryTableField id="1" name="Emp ID" tableColumnId="1"/>
      <queryTableField id="2" name="Fname" tableColumnId="2"/>
      <queryTableField id="3" name="Lname" tableColumnId="3"/>
      <queryTableField id="4" name="Gender" tableColumnId="4"/>
      <queryTableField id="5" name="Department" tableColumnId="5"/>
      <queryTableField id="6" name="Salary" tableColumnId="6"/>
      <queryTableField id="7" name="Start Date" tableColumnId="7"/>
      <queryTableField id="8" name="FTE" tableColumnId="8"/>
      <queryTableField id="9" name="Employee type" tableColumnId="9"/>
      <queryTableField id="10" name="Work location" tableColumnId="10"/>
      <queryTableField id="11" name="Mobile Number"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9975630-B0C7-4478-A13F-8593C8E47136}" sourceName="Department">
  <pivotTables>
    <pivotTable tabId="19" name="PivotTable1"/>
    <pivotTable tabId="19" name="TARGET VS SALES"/>
    <pivotTable tabId="19" name="ROLE_ACHIVEMENT"/>
    <pivotTable tabId="19" name="PivotTable7"/>
    <pivotTable tabId="19" name="PivotTable4"/>
    <pivotTable tabId="19" name="EXPERIENCE_ACHIEVEMENT"/>
    <pivotTable tabId="19" name="PivotTable9"/>
  </pivotTables>
  <data>
    <tabular pivotCacheId="1168807741">
      <items count="6">
        <i x="0" s="1"/>
        <i x="2" s="1" nd="1"/>
        <i x="1" s="1" nd="1"/>
        <i x="3" s="1" nd="1"/>
        <i x="5"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ID" xr10:uid="{663D141C-30AE-4C4B-B9F3-B8E3E13079E4}" sourceName="Emp ID">
  <pivotTables>
    <pivotTable tabId="19" name="PivotTable4"/>
    <pivotTable tabId="19" name="PivotTable1"/>
    <pivotTable tabId="19" name="ROLE_ACHIVEMENT"/>
    <pivotTable tabId="19" name="TARGET VS SALES"/>
    <pivotTable tabId="19" name="PivotTable7"/>
    <pivotTable tabId="19" name="EXPERIENCE_ACHIEVEMENT"/>
    <pivotTable tabId="19" name="PivotTable9"/>
  </pivotTables>
  <data>
    <tabular pivotCacheId="1168807741">
      <items count="10">
        <i x="0" s="1"/>
        <i x="1"/>
        <i x="2"/>
        <i x="3"/>
        <i x="4"/>
        <i x="5"/>
        <i x="6"/>
        <i x="7"/>
        <i x="8"/>
        <i x="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6840D8A-B2A1-4B10-A922-00085EFBDC9A}" cache="Slicer_Department" caption="Department" style="SlicerStyleLight5" rowHeight="241300"/>
  <slicer name="Emp ID" xr10:uid="{3588B78A-F350-461F-BD49-5DC8B6541B82}" cache="Slicer_Emp_ID" caption="Emp ID" style="SlicerStyleLight5"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FDCA40-B20E-433B-A7F9-C3F29313B436}" name="Table1" displayName="Table1" ref="A1:J277" totalsRowShown="0" headerRowDxfId="55" headerRowBorderDxfId="54" tableBorderDxfId="53">
  <autoFilter ref="A1:J277" xr:uid="{B3FDCA40-B20E-433B-A7F9-C3F29313B436}"/>
  <tableColumns count="10">
    <tableColumn id="1" xr3:uid="{42292757-E737-4454-B526-404BC6C9A4FD}" name="Emp ID"/>
    <tableColumn id="2" xr3:uid="{0B9F65C2-A846-43BC-AA9A-AC3B6565EABF}" name="Name"/>
    <tableColumn id="3" xr3:uid="{5F2AFFA7-69FA-4798-9704-E29CB46F6416}" name="Gender"/>
    <tableColumn id="4" xr3:uid="{3B97F6F4-A0A2-41E5-B623-A9D3CF46D2B2}" name="Department"/>
    <tableColumn id="5" xr3:uid="{E7A39B70-2DCE-4537-B530-EA64E999DFF2}" name="Salary"/>
    <tableColumn id="6" xr3:uid="{A42E4272-0B49-49F2-9DFE-5613258FA03C}" name="Start Date" dataDxfId="52"/>
    <tableColumn id="7" xr3:uid="{B2309C62-8A86-4CD9-B541-8A17051C509F}" name="FTE"/>
    <tableColumn id="8" xr3:uid="{A9D83E22-8317-4755-B50A-AB089A684FD0}" name="Employee type"/>
    <tableColumn id="9" xr3:uid="{7D9528E7-DEB0-4B10-A7ED-67BF86A225F5}" name="Work location"/>
    <tableColumn id="10" xr3:uid="{8B58E66B-B432-40F6-9E56-0DB1274A159D}" name="Mobile Number"/>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F89C29-215E-44F3-87F1-9522B31D71C9}" name="EMP_TABLE" displayName="EMP_TABLE" ref="A1:K261" tableType="queryTable" totalsRowShown="0">
  <autoFilter ref="A1:K261" xr:uid="{12F89C29-215E-44F3-87F1-9522B31D71C9}"/>
  <tableColumns count="11">
    <tableColumn id="1" xr3:uid="{3414F7F3-D8F3-4C75-A073-FA1F54CBF5C7}" uniqueName="1" name="Emp ID" queryTableFieldId="1" dataDxfId="51"/>
    <tableColumn id="2" xr3:uid="{4E7758FA-BE60-4685-8DCF-2115FA295DDF}" uniqueName="2" name="Fname" queryTableFieldId="2" dataDxfId="50"/>
    <tableColumn id="3" xr3:uid="{89232AAB-B81C-4676-8E30-E9BC1F561C30}" uniqueName="3" name="Lname" queryTableFieldId="3" dataDxfId="49"/>
    <tableColumn id="4" xr3:uid="{05B5789F-87D2-41CB-9457-7CA3B13BF3D1}" uniqueName="4" name="Gender" queryTableFieldId="4" dataDxfId="48"/>
    <tableColumn id="5" xr3:uid="{59B881C2-C3F7-45B6-AEA4-40AA94DA902A}" uniqueName="5" name="Department" queryTableFieldId="5" dataDxfId="47"/>
    <tableColumn id="6" xr3:uid="{3D271B90-7C24-455C-8B6E-47FF96F685F9}" uniqueName="6" name="Salary" queryTableFieldId="6"/>
    <tableColumn id="7" xr3:uid="{41931529-5600-4F6B-802B-8ED71D470EE1}" uniqueName="7" name="Start Date" queryTableFieldId="7" dataDxfId="46"/>
    <tableColumn id="8" xr3:uid="{BE412C49-E720-4AF1-AD4F-C1ADA9EBDD2E}" uniqueName="8" name="FTE" queryTableFieldId="8"/>
    <tableColumn id="9" xr3:uid="{09EC7CD6-60F5-4A7D-B7D1-CD4E70E6EF9D}" uniqueName="9" name="Employee type" queryTableFieldId="9" dataDxfId="45"/>
    <tableColumn id="10" xr3:uid="{F3790015-AF16-489F-A899-5195F923E6B6}" uniqueName="10" name="Work location" queryTableFieldId="10" dataDxfId="44"/>
    <tableColumn id="11" xr3:uid="{11BDD630-6229-40E7-ABDB-F41020F8B6C8}" uniqueName="11" name="Mobile Number" queryTableFieldId="11" dataDxfId="4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A5BDF3-9B38-4C3C-B77F-99319D5275B2}" name="Table4" displayName="Table4" ref="A1:G1001" totalsRowShown="0" headerRowDxfId="42" headerRowBorderDxfId="41" tableBorderDxfId="40">
  <autoFilter ref="A1:G1001" xr:uid="{5FA5BDF3-9B38-4C3C-B77F-99319D5275B2}"/>
  <tableColumns count="7">
    <tableColumn id="1" xr3:uid="{4717E2EE-DAF2-454A-8153-28ED3FEA2E56}" name="Product"/>
    <tableColumn id="2" xr3:uid="{BFB55B02-C09A-410B-868B-FC7D8E5CDEB2}" name="Region"/>
    <tableColumn id="3" xr3:uid="{7226B528-D6C9-48CB-956F-0C90B8C58CA5}" name="Employee"/>
    <tableColumn id="4" xr3:uid="{77E02ABF-A7F5-46AA-A5FF-3B409558B4BA}" name="Month"/>
    <tableColumn id="5" xr3:uid="{47B8B194-322B-4F84-8092-9B41C655B7CB}" name="Quantity"/>
    <tableColumn id="6" xr3:uid="{0F58EACB-BA3B-46A8-A46A-7456F7949BFD}" name="Price"/>
    <tableColumn id="7" xr3:uid="{7106F02F-524D-4A26-B18D-AC4D79AD58B1}" name="Sales"/>
  </tableColumns>
  <tableStyleInfo name="TableStyleMedium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4D952A-986D-4DF6-B347-D375ED795A9E}" name="DASHBOARD_TABLE" displayName="DASHBOARD_TABLE" ref="A2:M13" totalsRowCount="1" headerRowDxfId="39" dataDxfId="38">
  <autoFilter ref="A2:M12" xr:uid="{D1BD3A38-8B38-4EC6-968B-C0094C394C79}"/>
  <tableColumns count="13">
    <tableColumn id="1" xr3:uid="{69C841FE-8AAB-4E2D-8EE6-FCDAE9AE9D9E}" name="Emp ID" totalsRowLabel="Total" dataDxfId="36" totalsRowDxfId="37"/>
    <tableColumn id="2" xr3:uid="{48E16351-0F8F-4856-8D15-416D09AF4C94}" name="Name" dataDxfId="34" totalsRowDxfId="35"/>
    <tableColumn id="3" xr3:uid="{D78309AB-9C3F-40E8-8344-BCC581EA3CB7}" name="Gender" dataDxfId="32" totalsRowDxfId="33"/>
    <tableColumn id="4" xr3:uid="{A16CE8A2-7EEB-4E28-915E-405F180D4E6E}" name="Department" dataDxfId="30" totalsRowDxfId="31"/>
    <tableColumn id="5" xr3:uid="{85A982CC-8AD9-4356-AC62-EC7CCFAA33D6}" name="Location" dataDxfId="28" totalsRowDxfId="29"/>
    <tableColumn id="6" xr3:uid="{66141267-4CF3-43EF-A922-A97BCF0DA3C2}" name="Role" dataDxfId="26" totalsRowDxfId="27"/>
    <tableColumn id="7" xr3:uid="{61251ECF-8A49-4AE9-BE2A-A2DA0688B8C8}" name="Experience (Years)" dataDxfId="24" totalsRowDxfId="25"/>
    <tableColumn id="8" xr3:uid="{56F76873-B5E9-4467-AEBA-73CB2470F4D0}" name="Annual Salary " totalsRowFunction="sum" dataDxfId="22" totalsRowDxfId="23"/>
    <tableColumn id="9" xr3:uid="{A15885CC-952C-4F7F-9189-EA5C762106FC}" name="Target " dataDxfId="20" totalsRowDxfId="21"/>
    <tableColumn id="10" xr3:uid="{7FA28E21-8B9E-44F7-B9E4-0146838A0962}" name="Achieved" dataDxfId="18" totalsRowDxfId="19"/>
    <tableColumn id="11" xr3:uid="{9AF64609-8002-4E35-8B99-04F7463213B1}" name="Achievement" totalsRowFunction="sum" dataDxfId="16" totalsRowDxfId="17">
      <calculatedColumnFormula>DASHBOARD_TABLE[[#This Row],[Achieved]]/DASHBOARD_TABLE[[#This Row],[Target ]]</calculatedColumnFormula>
    </tableColumn>
    <tableColumn id="12" xr3:uid="{DE9D1CBF-EFBC-4644-B7A7-482FBF5785E8}" name="Rank" dataDxfId="14" totalsRowDxfId="15">
      <calculatedColumnFormula>_xlfn.RANK.EQ(DASHBOARD_TABLE[[#This Row],[Achievement]], DASHBOARD_TABLE[Achievement])</calculatedColumnFormula>
    </tableColumn>
    <tableColumn id="13" xr3:uid="{C82D1C78-94CB-40B0-A5BD-842535FCC7CE}" name="Experience Group" dataDxfId="12" totalsRowDxfId="13">
      <calculatedColumnFormula array="1">_xlfn.IFS(DASHBOARD_TABLE[[#This Row],[Experience (Years)]]&lt;=3, "Junior", DASHBOARD_TABLE[[#This Row],[Experience (Years)]]&lt;=7, "Mid-Level", DASHBOARD_TABLE[[#This Row],[Experience (Years)]]&gt;7, "Senior")</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7"/>
  <sheetViews>
    <sheetView workbookViewId="0">
      <selection activeCell="C20" sqref="C20"/>
    </sheetView>
  </sheetViews>
  <sheetFormatPr defaultRowHeight="15" x14ac:dyDescent="0.25"/>
  <cols>
    <col min="1" max="1" width="9.5703125" bestFit="1" customWidth="1"/>
    <col min="2" max="2" width="20.28515625" bestFit="1" customWidth="1"/>
    <col min="3" max="3" width="9.85546875" customWidth="1"/>
    <col min="4" max="4" width="17.28515625" bestFit="1" customWidth="1"/>
    <col min="5" max="5" width="10" bestFit="1" customWidth="1"/>
    <col min="6" max="6" width="18.28515625" bestFit="1" customWidth="1"/>
    <col min="7" max="7" width="6.140625" customWidth="1"/>
    <col min="8" max="8" width="16.42578125" customWidth="1"/>
    <col min="9" max="9" width="16.42578125" bestFit="1" customWidth="1"/>
    <col min="10" max="10" width="22.5703125" bestFit="1" customWidth="1"/>
  </cols>
  <sheetData>
    <row r="1" spans="1:10" x14ac:dyDescent="0.25">
      <c r="A1" s="2" t="s">
        <v>0</v>
      </c>
      <c r="B1" s="2" t="s">
        <v>1</v>
      </c>
      <c r="C1" s="2" t="s">
        <v>2</v>
      </c>
      <c r="D1" s="2" t="s">
        <v>3</v>
      </c>
      <c r="E1" s="2" t="s">
        <v>4</v>
      </c>
      <c r="F1" s="2" t="s">
        <v>5</v>
      </c>
      <c r="G1" s="2" t="s">
        <v>6</v>
      </c>
      <c r="H1" s="2" t="s">
        <v>7</v>
      </c>
      <c r="I1" s="2" t="s">
        <v>8</v>
      </c>
      <c r="J1" s="2" t="s">
        <v>9</v>
      </c>
    </row>
    <row r="2" spans="1:10" x14ac:dyDescent="0.25">
      <c r="A2" t="s">
        <v>10</v>
      </c>
      <c r="B2" t="s">
        <v>286</v>
      </c>
      <c r="C2" t="s">
        <v>560</v>
      </c>
      <c r="D2" t="s">
        <v>562</v>
      </c>
      <c r="E2">
        <v>120000</v>
      </c>
      <c r="F2" t="s">
        <v>570</v>
      </c>
      <c r="G2">
        <v>1</v>
      </c>
      <c r="H2" t="s">
        <v>683</v>
      </c>
      <c r="I2" t="s">
        <v>686</v>
      </c>
      <c r="J2" t="s">
        <v>694</v>
      </c>
    </row>
    <row r="3" spans="1:10" x14ac:dyDescent="0.25">
      <c r="A3" t="s">
        <v>11</v>
      </c>
      <c r="B3" t="s">
        <v>287</v>
      </c>
      <c r="C3" t="s">
        <v>561</v>
      </c>
      <c r="D3" t="s">
        <v>563</v>
      </c>
      <c r="E3">
        <v>98000</v>
      </c>
      <c r="F3" s="1">
        <v>43710</v>
      </c>
      <c r="G3">
        <v>0.9</v>
      </c>
      <c r="H3" t="s">
        <v>683</v>
      </c>
      <c r="I3" t="s">
        <v>687</v>
      </c>
      <c r="J3" t="s">
        <v>695</v>
      </c>
    </row>
    <row r="4" spans="1:10" x14ac:dyDescent="0.25">
      <c r="A4" t="s">
        <v>12</v>
      </c>
      <c r="B4" t="s">
        <v>288</v>
      </c>
      <c r="C4" t="s">
        <v>561</v>
      </c>
      <c r="D4" t="s">
        <v>564</v>
      </c>
      <c r="E4">
        <v>120000</v>
      </c>
      <c r="F4" s="1">
        <v>43902</v>
      </c>
      <c r="G4">
        <v>0.9</v>
      </c>
      <c r="H4" t="s">
        <v>683</v>
      </c>
      <c r="I4" t="s">
        <v>688</v>
      </c>
      <c r="J4" t="s">
        <v>696</v>
      </c>
    </row>
    <row r="5" spans="1:10" x14ac:dyDescent="0.25">
      <c r="A5" t="s">
        <v>13</v>
      </c>
      <c r="B5" t="s">
        <v>289</v>
      </c>
      <c r="C5" t="s">
        <v>561</v>
      </c>
      <c r="D5" t="s">
        <v>565</v>
      </c>
      <c r="E5">
        <v>20000</v>
      </c>
      <c r="F5" t="s">
        <v>571</v>
      </c>
      <c r="G5">
        <v>1</v>
      </c>
      <c r="H5" t="s">
        <v>684</v>
      </c>
      <c r="I5" t="s">
        <v>688</v>
      </c>
      <c r="J5" t="s">
        <v>697</v>
      </c>
    </row>
    <row r="6" spans="1:10" x14ac:dyDescent="0.25">
      <c r="A6" t="s">
        <v>14</v>
      </c>
      <c r="B6" t="s">
        <v>290</v>
      </c>
      <c r="C6" t="s">
        <v>560</v>
      </c>
      <c r="D6" t="s">
        <v>566</v>
      </c>
      <c r="E6">
        <v>57002.02</v>
      </c>
      <c r="F6" t="s">
        <v>572</v>
      </c>
      <c r="G6">
        <v>0.7</v>
      </c>
      <c r="H6" t="s">
        <v>683</v>
      </c>
      <c r="I6" t="s">
        <v>689</v>
      </c>
      <c r="J6" t="s">
        <v>698</v>
      </c>
    </row>
    <row r="7" spans="1:10" x14ac:dyDescent="0.25">
      <c r="A7" t="s">
        <v>15</v>
      </c>
      <c r="B7" t="s">
        <v>291</v>
      </c>
      <c r="C7" t="s">
        <v>560</v>
      </c>
      <c r="D7" t="s">
        <v>562</v>
      </c>
      <c r="E7">
        <v>118976.16</v>
      </c>
      <c r="F7" t="s">
        <v>573</v>
      </c>
      <c r="G7">
        <v>1</v>
      </c>
      <c r="H7" t="s">
        <v>683</v>
      </c>
      <c r="I7" t="s">
        <v>689</v>
      </c>
      <c r="J7" t="s">
        <v>699</v>
      </c>
    </row>
    <row r="8" spans="1:10" x14ac:dyDescent="0.25">
      <c r="A8" t="s">
        <v>16</v>
      </c>
      <c r="B8" t="s">
        <v>292</v>
      </c>
      <c r="C8" t="s">
        <v>560</v>
      </c>
      <c r="D8" t="s">
        <v>563</v>
      </c>
      <c r="E8">
        <v>104802.63</v>
      </c>
      <c r="F8" s="1">
        <v>44502</v>
      </c>
      <c r="G8">
        <v>1</v>
      </c>
      <c r="H8" t="s">
        <v>683</v>
      </c>
      <c r="I8" t="s">
        <v>690</v>
      </c>
      <c r="J8" t="s">
        <v>700</v>
      </c>
    </row>
    <row r="9" spans="1:10" x14ac:dyDescent="0.25">
      <c r="A9" t="s">
        <v>17</v>
      </c>
      <c r="B9" t="s">
        <v>293</v>
      </c>
      <c r="C9" t="s">
        <v>561</v>
      </c>
      <c r="D9" t="s">
        <v>563</v>
      </c>
      <c r="E9">
        <v>66017.179999999993</v>
      </c>
      <c r="F9" s="1">
        <v>43643</v>
      </c>
      <c r="G9">
        <v>0.9</v>
      </c>
      <c r="H9" t="s">
        <v>683</v>
      </c>
      <c r="I9" t="s">
        <v>688</v>
      </c>
      <c r="J9" t="s">
        <v>701</v>
      </c>
    </row>
    <row r="10" spans="1:10" x14ac:dyDescent="0.25">
      <c r="A10" t="s">
        <v>18</v>
      </c>
      <c r="B10" t="s">
        <v>294</v>
      </c>
      <c r="C10" t="s">
        <v>561</v>
      </c>
      <c r="D10" t="s">
        <v>562</v>
      </c>
      <c r="E10">
        <v>74279.009999999995</v>
      </c>
      <c r="F10" s="1">
        <v>43466</v>
      </c>
      <c r="G10">
        <v>1</v>
      </c>
      <c r="H10" t="s">
        <v>683</v>
      </c>
      <c r="I10" t="s">
        <v>688</v>
      </c>
      <c r="J10" t="s">
        <v>702</v>
      </c>
    </row>
    <row r="11" spans="1:10" x14ac:dyDescent="0.25">
      <c r="A11" t="s">
        <v>19</v>
      </c>
      <c r="B11" t="s">
        <v>295</v>
      </c>
      <c r="C11" t="s">
        <v>561</v>
      </c>
      <c r="D11" t="s">
        <v>565</v>
      </c>
      <c r="E11">
        <v>68980.52</v>
      </c>
      <c r="F11" s="1">
        <v>43494</v>
      </c>
      <c r="G11">
        <v>0.8</v>
      </c>
      <c r="H11" t="s">
        <v>683</v>
      </c>
      <c r="I11" t="s">
        <v>689</v>
      </c>
      <c r="J11" t="s">
        <v>703</v>
      </c>
    </row>
    <row r="12" spans="1:10" x14ac:dyDescent="0.25">
      <c r="A12" t="s">
        <v>20</v>
      </c>
      <c r="B12" t="s">
        <v>296</v>
      </c>
      <c r="C12" t="s">
        <v>560</v>
      </c>
      <c r="D12" t="s">
        <v>567</v>
      </c>
      <c r="E12">
        <v>42314.39</v>
      </c>
      <c r="F12" t="s">
        <v>574</v>
      </c>
      <c r="G12">
        <v>1</v>
      </c>
      <c r="H12" t="s">
        <v>684</v>
      </c>
      <c r="I12" t="s">
        <v>686</v>
      </c>
      <c r="J12" t="s">
        <v>704</v>
      </c>
    </row>
    <row r="13" spans="1:10" x14ac:dyDescent="0.25">
      <c r="A13" t="s">
        <v>21</v>
      </c>
      <c r="B13" t="s">
        <v>297</v>
      </c>
      <c r="C13" t="s">
        <v>560</v>
      </c>
      <c r="D13" t="s">
        <v>566</v>
      </c>
      <c r="E13">
        <v>114425.19</v>
      </c>
      <c r="F13" t="s">
        <v>575</v>
      </c>
      <c r="G13">
        <v>1</v>
      </c>
      <c r="H13" t="s">
        <v>683</v>
      </c>
      <c r="I13" t="s">
        <v>691</v>
      </c>
      <c r="J13" t="s">
        <v>705</v>
      </c>
    </row>
    <row r="14" spans="1:10" x14ac:dyDescent="0.25">
      <c r="A14" t="s">
        <v>22</v>
      </c>
      <c r="B14" t="s">
        <v>298</v>
      </c>
      <c r="C14" t="s">
        <v>561</v>
      </c>
      <c r="D14" t="s">
        <v>568</v>
      </c>
      <c r="E14">
        <v>69192.850000000006</v>
      </c>
      <c r="F14" t="s">
        <v>576</v>
      </c>
      <c r="G14">
        <v>1</v>
      </c>
      <c r="H14" t="s">
        <v>683</v>
      </c>
      <c r="I14" t="s">
        <v>690</v>
      </c>
      <c r="J14" t="s">
        <v>706</v>
      </c>
    </row>
    <row r="15" spans="1:10" x14ac:dyDescent="0.25">
      <c r="A15" t="s">
        <v>23</v>
      </c>
      <c r="B15" t="s">
        <v>299</v>
      </c>
      <c r="C15" t="s">
        <v>561</v>
      </c>
      <c r="D15" t="s">
        <v>569</v>
      </c>
      <c r="E15">
        <v>61214.26</v>
      </c>
      <c r="F15" t="s">
        <v>577</v>
      </c>
      <c r="G15">
        <v>1</v>
      </c>
      <c r="H15" t="s">
        <v>685</v>
      </c>
      <c r="I15" t="s">
        <v>690</v>
      </c>
      <c r="J15" t="s">
        <v>707</v>
      </c>
    </row>
    <row r="16" spans="1:10" x14ac:dyDescent="0.25">
      <c r="A16" t="s">
        <v>24</v>
      </c>
      <c r="B16" t="s">
        <v>300</v>
      </c>
      <c r="C16" t="s">
        <v>560</v>
      </c>
      <c r="D16" t="s">
        <v>563</v>
      </c>
      <c r="E16">
        <v>54137.05</v>
      </c>
      <c r="F16" t="s">
        <v>578</v>
      </c>
      <c r="G16">
        <v>1</v>
      </c>
      <c r="H16" t="s">
        <v>683</v>
      </c>
      <c r="I16" t="s">
        <v>689</v>
      </c>
      <c r="J16" t="s">
        <v>708</v>
      </c>
    </row>
    <row r="17" spans="1:10" x14ac:dyDescent="0.25">
      <c r="A17" t="s">
        <v>25</v>
      </c>
      <c r="B17" t="s">
        <v>301</v>
      </c>
      <c r="C17" t="s">
        <v>561</v>
      </c>
      <c r="D17" t="s">
        <v>565</v>
      </c>
      <c r="E17">
        <v>37902.35</v>
      </c>
      <c r="F17" t="s">
        <v>579</v>
      </c>
      <c r="G17">
        <v>1</v>
      </c>
      <c r="H17" t="s">
        <v>683</v>
      </c>
      <c r="I17" t="s">
        <v>686</v>
      </c>
      <c r="J17" t="s">
        <v>709</v>
      </c>
    </row>
    <row r="18" spans="1:10" x14ac:dyDescent="0.25">
      <c r="A18" t="s">
        <v>26</v>
      </c>
      <c r="B18" t="s">
        <v>302</v>
      </c>
      <c r="C18" t="s">
        <v>560</v>
      </c>
      <c r="D18" t="s">
        <v>563</v>
      </c>
      <c r="E18">
        <v>39969.72</v>
      </c>
      <c r="F18" t="s">
        <v>580</v>
      </c>
      <c r="G18">
        <v>1</v>
      </c>
      <c r="H18" t="s">
        <v>685</v>
      </c>
      <c r="I18" t="s">
        <v>686</v>
      </c>
      <c r="J18" t="s">
        <v>710</v>
      </c>
    </row>
    <row r="19" spans="1:10" x14ac:dyDescent="0.25">
      <c r="A19" t="s">
        <v>27</v>
      </c>
      <c r="B19" t="s">
        <v>303</v>
      </c>
      <c r="C19" t="s">
        <v>561</v>
      </c>
      <c r="D19" t="s">
        <v>569</v>
      </c>
      <c r="E19">
        <v>69913.39</v>
      </c>
      <c r="F19" s="1">
        <v>43584</v>
      </c>
      <c r="G19">
        <v>1</v>
      </c>
      <c r="H19" t="s">
        <v>683</v>
      </c>
      <c r="I19" t="s">
        <v>689</v>
      </c>
      <c r="J19" t="s">
        <v>711</v>
      </c>
    </row>
    <row r="20" spans="1:10" x14ac:dyDescent="0.25">
      <c r="A20" t="s">
        <v>28</v>
      </c>
      <c r="B20" t="s">
        <v>304</v>
      </c>
      <c r="C20" t="s">
        <v>561</v>
      </c>
      <c r="D20" t="s">
        <v>563</v>
      </c>
      <c r="E20">
        <v>52748.63</v>
      </c>
      <c r="F20" t="s">
        <v>575</v>
      </c>
      <c r="G20">
        <v>1</v>
      </c>
      <c r="H20" t="s">
        <v>683</v>
      </c>
      <c r="I20" t="s">
        <v>690</v>
      </c>
      <c r="J20" t="s">
        <v>712</v>
      </c>
    </row>
    <row r="21" spans="1:10" x14ac:dyDescent="0.25">
      <c r="A21" t="s">
        <v>29</v>
      </c>
      <c r="B21" t="s">
        <v>305</v>
      </c>
      <c r="C21" t="s">
        <v>561</v>
      </c>
      <c r="D21" t="s">
        <v>567</v>
      </c>
      <c r="E21">
        <v>50310.09</v>
      </c>
      <c r="F21" s="1">
        <v>44285</v>
      </c>
      <c r="G21">
        <v>0.4</v>
      </c>
      <c r="H21" t="s">
        <v>683</v>
      </c>
      <c r="I21" t="s">
        <v>692</v>
      </c>
      <c r="J21" t="s">
        <v>713</v>
      </c>
    </row>
    <row r="22" spans="1:10" x14ac:dyDescent="0.25">
      <c r="A22" t="s">
        <v>30</v>
      </c>
      <c r="B22" t="s">
        <v>306</v>
      </c>
      <c r="C22" t="s">
        <v>560</v>
      </c>
      <c r="D22" t="s">
        <v>565</v>
      </c>
      <c r="E22">
        <v>52963.65</v>
      </c>
      <c r="F22" s="1">
        <v>44288</v>
      </c>
      <c r="G22">
        <v>0.3</v>
      </c>
      <c r="H22" t="s">
        <v>683</v>
      </c>
      <c r="I22" t="s">
        <v>691</v>
      </c>
      <c r="J22" t="s">
        <v>714</v>
      </c>
    </row>
    <row r="23" spans="1:10" x14ac:dyDescent="0.25">
      <c r="A23" t="s">
        <v>31</v>
      </c>
      <c r="B23" t="s">
        <v>307</v>
      </c>
      <c r="C23" t="s">
        <v>560</v>
      </c>
      <c r="D23" t="s">
        <v>569</v>
      </c>
      <c r="E23">
        <v>62195.47</v>
      </c>
      <c r="F23" t="s">
        <v>581</v>
      </c>
      <c r="G23">
        <v>1</v>
      </c>
      <c r="H23" t="s">
        <v>683</v>
      </c>
      <c r="I23" t="s">
        <v>693</v>
      </c>
      <c r="J23" t="s">
        <v>715</v>
      </c>
    </row>
    <row r="24" spans="1:10" x14ac:dyDescent="0.25">
      <c r="A24" t="s">
        <v>32</v>
      </c>
      <c r="B24" t="s">
        <v>308</v>
      </c>
      <c r="C24" t="s">
        <v>561</v>
      </c>
      <c r="D24" t="s">
        <v>564</v>
      </c>
      <c r="E24">
        <v>43329.22</v>
      </c>
      <c r="F24" s="1">
        <v>43809</v>
      </c>
      <c r="G24">
        <v>0.5</v>
      </c>
      <c r="H24" t="s">
        <v>684</v>
      </c>
      <c r="I24" t="s">
        <v>692</v>
      </c>
      <c r="J24" t="s">
        <v>716</v>
      </c>
    </row>
    <row r="25" spans="1:10" x14ac:dyDescent="0.25">
      <c r="A25" t="s">
        <v>33</v>
      </c>
      <c r="B25" t="s">
        <v>309</v>
      </c>
      <c r="C25" t="s">
        <v>560</v>
      </c>
      <c r="D25" t="s">
        <v>564</v>
      </c>
      <c r="E25">
        <v>71570.990000000005</v>
      </c>
      <c r="F25" t="s">
        <v>582</v>
      </c>
      <c r="G25">
        <v>0.5</v>
      </c>
      <c r="H25" t="s">
        <v>683</v>
      </c>
      <c r="I25" t="s">
        <v>693</v>
      </c>
      <c r="J25" t="s">
        <v>717</v>
      </c>
    </row>
    <row r="26" spans="1:10" x14ac:dyDescent="0.25">
      <c r="A26" t="s">
        <v>34</v>
      </c>
      <c r="B26" t="s">
        <v>310</v>
      </c>
      <c r="C26" t="s">
        <v>560</v>
      </c>
      <c r="D26" t="s">
        <v>563</v>
      </c>
      <c r="E26">
        <v>78840.23</v>
      </c>
      <c r="F26" s="1">
        <v>43633</v>
      </c>
      <c r="G26">
        <v>1</v>
      </c>
      <c r="H26" t="s">
        <v>685</v>
      </c>
      <c r="I26" t="s">
        <v>693</v>
      </c>
      <c r="J26" t="s">
        <v>718</v>
      </c>
    </row>
    <row r="27" spans="1:10" x14ac:dyDescent="0.25">
      <c r="A27" t="s">
        <v>35</v>
      </c>
      <c r="B27" t="s">
        <v>311</v>
      </c>
      <c r="C27" t="s">
        <v>561</v>
      </c>
      <c r="D27" t="s">
        <v>569</v>
      </c>
      <c r="E27">
        <v>61994.76</v>
      </c>
      <c r="F27" s="1">
        <v>43794</v>
      </c>
      <c r="G27">
        <v>0.3</v>
      </c>
      <c r="H27" t="s">
        <v>683</v>
      </c>
      <c r="I27" t="s">
        <v>693</v>
      </c>
      <c r="J27" t="s">
        <v>719</v>
      </c>
    </row>
    <row r="28" spans="1:10" x14ac:dyDescent="0.25">
      <c r="A28" t="s">
        <v>36</v>
      </c>
      <c r="B28" t="s">
        <v>312</v>
      </c>
      <c r="C28" t="s">
        <v>561</v>
      </c>
      <c r="D28" t="s">
        <v>562</v>
      </c>
      <c r="E28">
        <v>89690.38</v>
      </c>
      <c r="F28" s="1">
        <v>43206</v>
      </c>
      <c r="G28">
        <v>1</v>
      </c>
      <c r="H28" t="s">
        <v>683</v>
      </c>
      <c r="I28" t="s">
        <v>691</v>
      </c>
      <c r="J28" t="s">
        <v>720</v>
      </c>
    </row>
    <row r="29" spans="1:10" x14ac:dyDescent="0.25">
      <c r="A29" t="s">
        <v>37</v>
      </c>
      <c r="B29" t="s">
        <v>313</v>
      </c>
      <c r="C29" t="s">
        <v>561</v>
      </c>
      <c r="D29" t="s">
        <v>567</v>
      </c>
      <c r="E29">
        <v>104335.03999999999</v>
      </c>
      <c r="F29" s="1">
        <v>43874</v>
      </c>
      <c r="G29">
        <v>1</v>
      </c>
      <c r="H29" t="s">
        <v>683</v>
      </c>
      <c r="I29" t="s">
        <v>693</v>
      </c>
      <c r="J29" t="s">
        <v>721</v>
      </c>
    </row>
    <row r="30" spans="1:10" x14ac:dyDescent="0.25">
      <c r="A30" t="s">
        <v>38</v>
      </c>
      <c r="B30" t="s">
        <v>314</v>
      </c>
      <c r="C30" t="s">
        <v>561</v>
      </c>
      <c r="D30" t="s">
        <v>567</v>
      </c>
      <c r="E30">
        <v>52246.29</v>
      </c>
      <c r="F30" t="s">
        <v>583</v>
      </c>
      <c r="G30">
        <v>1</v>
      </c>
      <c r="H30" t="s">
        <v>685</v>
      </c>
      <c r="I30" t="s">
        <v>690</v>
      </c>
      <c r="J30" t="s">
        <v>722</v>
      </c>
    </row>
    <row r="31" spans="1:10" x14ac:dyDescent="0.25">
      <c r="A31" t="s">
        <v>39</v>
      </c>
      <c r="B31" t="s">
        <v>315</v>
      </c>
      <c r="C31" t="s">
        <v>560</v>
      </c>
      <c r="D31" t="s">
        <v>567</v>
      </c>
      <c r="E31">
        <v>90697.67</v>
      </c>
      <c r="F31" s="1">
        <v>44221</v>
      </c>
      <c r="G31">
        <v>0.8</v>
      </c>
      <c r="H31" t="s">
        <v>683</v>
      </c>
      <c r="I31" t="s">
        <v>686</v>
      </c>
      <c r="J31" t="s">
        <v>723</v>
      </c>
    </row>
    <row r="32" spans="1:10" x14ac:dyDescent="0.25">
      <c r="A32" t="s">
        <v>40</v>
      </c>
      <c r="B32" t="s">
        <v>316</v>
      </c>
      <c r="C32" t="s">
        <v>560</v>
      </c>
      <c r="D32" t="s">
        <v>566</v>
      </c>
      <c r="E32">
        <v>90884.32</v>
      </c>
      <c r="F32" t="s">
        <v>584</v>
      </c>
      <c r="G32">
        <v>1</v>
      </c>
      <c r="H32" t="s">
        <v>683</v>
      </c>
      <c r="I32" t="s">
        <v>687</v>
      </c>
      <c r="J32" t="s">
        <v>724</v>
      </c>
    </row>
    <row r="33" spans="1:10" x14ac:dyDescent="0.25">
      <c r="A33" t="s">
        <v>41</v>
      </c>
      <c r="B33" t="s">
        <v>317</v>
      </c>
      <c r="C33" t="s">
        <v>560</v>
      </c>
      <c r="D33" t="s">
        <v>564</v>
      </c>
      <c r="E33">
        <v>76320.44</v>
      </c>
      <c r="F33" s="1">
        <v>44383</v>
      </c>
      <c r="G33">
        <v>0.8</v>
      </c>
      <c r="H33" t="s">
        <v>685</v>
      </c>
      <c r="I33" t="s">
        <v>686</v>
      </c>
      <c r="J33" t="s">
        <v>725</v>
      </c>
    </row>
    <row r="34" spans="1:10" x14ac:dyDescent="0.25">
      <c r="A34" t="s">
        <v>42</v>
      </c>
      <c r="B34" t="s">
        <v>318</v>
      </c>
      <c r="C34" t="s">
        <v>560</v>
      </c>
      <c r="D34" t="s">
        <v>564</v>
      </c>
      <c r="E34">
        <v>73360.38</v>
      </c>
      <c r="F34" s="1">
        <v>43972</v>
      </c>
      <c r="G34">
        <v>1</v>
      </c>
      <c r="H34" t="s">
        <v>685</v>
      </c>
      <c r="I34" t="s">
        <v>688</v>
      </c>
      <c r="J34" t="s">
        <v>726</v>
      </c>
    </row>
    <row r="35" spans="1:10" x14ac:dyDescent="0.25">
      <c r="A35" t="s">
        <v>43</v>
      </c>
      <c r="B35" t="s">
        <v>319</v>
      </c>
      <c r="C35" t="s">
        <v>561</v>
      </c>
      <c r="D35" t="s">
        <v>563</v>
      </c>
      <c r="F35" t="s">
        <v>585</v>
      </c>
      <c r="G35">
        <v>0.7</v>
      </c>
      <c r="H35" t="s">
        <v>683</v>
      </c>
      <c r="I35" t="s">
        <v>692</v>
      </c>
      <c r="J35" t="s">
        <v>727</v>
      </c>
    </row>
    <row r="36" spans="1:10" x14ac:dyDescent="0.25">
      <c r="A36" t="s">
        <v>44</v>
      </c>
      <c r="B36" t="s">
        <v>320</v>
      </c>
      <c r="C36" t="s">
        <v>560</v>
      </c>
      <c r="D36" t="s">
        <v>567</v>
      </c>
      <c r="E36">
        <v>50449.46</v>
      </c>
      <c r="F36" t="s">
        <v>586</v>
      </c>
      <c r="G36">
        <v>0.8</v>
      </c>
      <c r="H36" t="s">
        <v>683</v>
      </c>
      <c r="I36" t="s">
        <v>689</v>
      </c>
      <c r="J36" t="s">
        <v>728</v>
      </c>
    </row>
    <row r="37" spans="1:10" x14ac:dyDescent="0.25">
      <c r="A37" t="s">
        <v>45</v>
      </c>
      <c r="B37" t="s">
        <v>321</v>
      </c>
      <c r="C37" t="s">
        <v>560</v>
      </c>
      <c r="D37" t="s">
        <v>569</v>
      </c>
      <c r="E37">
        <v>53949.26</v>
      </c>
      <c r="F37" s="1">
        <v>43808</v>
      </c>
      <c r="G37">
        <v>1</v>
      </c>
      <c r="H37" t="s">
        <v>685</v>
      </c>
      <c r="I37" t="s">
        <v>692</v>
      </c>
      <c r="J37" t="s">
        <v>729</v>
      </c>
    </row>
    <row r="38" spans="1:10" x14ac:dyDescent="0.25">
      <c r="A38" t="s">
        <v>46</v>
      </c>
      <c r="B38" t="s">
        <v>322</v>
      </c>
      <c r="C38" t="s">
        <v>560</v>
      </c>
      <c r="D38" t="s">
        <v>563</v>
      </c>
      <c r="E38">
        <v>113616.23</v>
      </c>
      <c r="F38" s="1">
        <v>43255</v>
      </c>
      <c r="G38">
        <v>1</v>
      </c>
      <c r="H38" t="s">
        <v>683</v>
      </c>
      <c r="I38" t="s">
        <v>690</v>
      </c>
      <c r="J38" t="s">
        <v>730</v>
      </c>
    </row>
    <row r="39" spans="1:10" x14ac:dyDescent="0.25">
      <c r="A39" t="s">
        <v>47</v>
      </c>
      <c r="B39" t="s">
        <v>323</v>
      </c>
      <c r="C39" t="s">
        <v>560</v>
      </c>
      <c r="D39" t="s">
        <v>562</v>
      </c>
      <c r="E39">
        <v>110906.35</v>
      </c>
      <c r="F39" t="s">
        <v>587</v>
      </c>
      <c r="G39">
        <v>1</v>
      </c>
      <c r="H39" t="s">
        <v>685</v>
      </c>
      <c r="I39" t="s">
        <v>687</v>
      </c>
      <c r="J39" t="s">
        <v>731</v>
      </c>
    </row>
    <row r="40" spans="1:10" x14ac:dyDescent="0.25">
      <c r="A40" t="s">
        <v>48</v>
      </c>
      <c r="B40" t="s">
        <v>324</v>
      </c>
      <c r="C40" t="s">
        <v>561</v>
      </c>
      <c r="D40" t="s">
        <v>567</v>
      </c>
      <c r="E40">
        <v>100371.31</v>
      </c>
      <c r="F40" s="1">
        <v>44067</v>
      </c>
      <c r="G40">
        <v>0.8</v>
      </c>
      <c r="H40" t="s">
        <v>684</v>
      </c>
      <c r="I40" t="s">
        <v>690</v>
      </c>
      <c r="J40" t="s">
        <v>732</v>
      </c>
    </row>
    <row r="41" spans="1:10" x14ac:dyDescent="0.25">
      <c r="A41" t="s">
        <v>49</v>
      </c>
      <c r="B41" t="s">
        <v>325</v>
      </c>
      <c r="C41" t="s">
        <v>560</v>
      </c>
      <c r="D41" t="s">
        <v>563</v>
      </c>
      <c r="E41">
        <v>69163.39</v>
      </c>
      <c r="F41" s="1">
        <v>43397</v>
      </c>
      <c r="G41">
        <v>1</v>
      </c>
      <c r="H41" t="s">
        <v>683</v>
      </c>
      <c r="I41" t="s">
        <v>689</v>
      </c>
      <c r="J41" t="s">
        <v>733</v>
      </c>
    </row>
    <row r="42" spans="1:10" x14ac:dyDescent="0.25">
      <c r="A42" t="s">
        <v>50</v>
      </c>
      <c r="B42" t="s">
        <v>326</v>
      </c>
      <c r="C42" t="s">
        <v>560</v>
      </c>
      <c r="D42" t="s">
        <v>565</v>
      </c>
      <c r="E42">
        <v>114691.03</v>
      </c>
      <c r="F42" t="s">
        <v>588</v>
      </c>
      <c r="G42">
        <v>1</v>
      </c>
      <c r="H42" t="s">
        <v>685</v>
      </c>
      <c r="I42" t="s">
        <v>693</v>
      </c>
      <c r="J42" t="s">
        <v>734</v>
      </c>
    </row>
    <row r="43" spans="1:10" x14ac:dyDescent="0.25">
      <c r="A43" t="s">
        <v>51</v>
      </c>
      <c r="B43" t="s">
        <v>327</v>
      </c>
      <c r="C43" t="s">
        <v>560</v>
      </c>
      <c r="D43" t="s">
        <v>567</v>
      </c>
      <c r="E43">
        <v>86556.96</v>
      </c>
      <c r="F43" t="s">
        <v>589</v>
      </c>
      <c r="G43">
        <v>1</v>
      </c>
      <c r="H43" t="s">
        <v>683</v>
      </c>
      <c r="I43" t="s">
        <v>689</v>
      </c>
      <c r="J43" t="s">
        <v>735</v>
      </c>
    </row>
    <row r="44" spans="1:10" x14ac:dyDescent="0.25">
      <c r="A44" t="s">
        <v>52</v>
      </c>
      <c r="B44" t="s">
        <v>328</v>
      </c>
      <c r="C44" t="s">
        <v>561</v>
      </c>
      <c r="D44" t="s">
        <v>569</v>
      </c>
      <c r="E44">
        <v>31172.77</v>
      </c>
      <c r="F44" t="s">
        <v>590</v>
      </c>
      <c r="G44">
        <v>1</v>
      </c>
      <c r="H44" t="s">
        <v>684</v>
      </c>
      <c r="I44" t="s">
        <v>692</v>
      </c>
      <c r="J44" t="s">
        <v>736</v>
      </c>
    </row>
    <row r="45" spans="1:10" x14ac:dyDescent="0.25">
      <c r="A45" t="s">
        <v>53</v>
      </c>
      <c r="B45" t="s">
        <v>329</v>
      </c>
      <c r="C45" t="s">
        <v>560</v>
      </c>
      <c r="D45" t="s">
        <v>562</v>
      </c>
      <c r="E45">
        <v>80169.42</v>
      </c>
      <c r="F45" t="s">
        <v>591</v>
      </c>
      <c r="G45">
        <v>1</v>
      </c>
      <c r="H45" t="s">
        <v>683</v>
      </c>
      <c r="I45" t="s">
        <v>690</v>
      </c>
      <c r="J45" t="s">
        <v>737</v>
      </c>
    </row>
    <row r="46" spans="1:10" x14ac:dyDescent="0.25">
      <c r="A46" t="s">
        <v>54</v>
      </c>
      <c r="B46" t="s">
        <v>330</v>
      </c>
      <c r="C46" t="s">
        <v>561</v>
      </c>
      <c r="D46" t="s">
        <v>567</v>
      </c>
      <c r="E46">
        <v>53949.26</v>
      </c>
      <c r="F46" s="1">
        <v>43808</v>
      </c>
      <c r="G46">
        <v>1</v>
      </c>
      <c r="H46" t="s">
        <v>685</v>
      </c>
      <c r="I46" t="s">
        <v>686</v>
      </c>
      <c r="J46" t="s">
        <v>738</v>
      </c>
    </row>
    <row r="47" spans="1:10" x14ac:dyDescent="0.25">
      <c r="A47" t="s">
        <v>55</v>
      </c>
      <c r="B47" t="s">
        <v>331</v>
      </c>
      <c r="C47" t="s">
        <v>560</v>
      </c>
      <c r="D47" t="s">
        <v>565</v>
      </c>
      <c r="E47">
        <v>58935.92</v>
      </c>
      <c r="F47" t="s">
        <v>592</v>
      </c>
      <c r="G47">
        <v>1</v>
      </c>
      <c r="H47" t="s">
        <v>685</v>
      </c>
      <c r="I47" t="s">
        <v>693</v>
      </c>
      <c r="J47" t="s">
        <v>739</v>
      </c>
    </row>
    <row r="48" spans="1:10" x14ac:dyDescent="0.25">
      <c r="A48" t="s">
        <v>56</v>
      </c>
      <c r="B48" t="s">
        <v>332</v>
      </c>
      <c r="C48" t="s">
        <v>560</v>
      </c>
      <c r="D48" t="s">
        <v>569</v>
      </c>
      <c r="E48">
        <v>63555.73</v>
      </c>
      <c r="F48" t="s">
        <v>593</v>
      </c>
      <c r="G48">
        <v>1</v>
      </c>
      <c r="H48" t="s">
        <v>683</v>
      </c>
      <c r="I48" t="s">
        <v>687</v>
      </c>
      <c r="J48" t="s">
        <v>740</v>
      </c>
    </row>
    <row r="49" spans="1:10" x14ac:dyDescent="0.25">
      <c r="A49" t="s">
        <v>57</v>
      </c>
      <c r="B49" t="s">
        <v>333</v>
      </c>
      <c r="C49" t="s">
        <v>561</v>
      </c>
      <c r="D49" t="s">
        <v>569</v>
      </c>
      <c r="E49">
        <v>57419.35</v>
      </c>
      <c r="F49" s="1">
        <v>43305</v>
      </c>
      <c r="G49">
        <v>1</v>
      </c>
      <c r="H49" t="s">
        <v>684</v>
      </c>
      <c r="I49" t="s">
        <v>689</v>
      </c>
      <c r="J49" t="s">
        <v>741</v>
      </c>
    </row>
    <row r="50" spans="1:10" x14ac:dyDescent="0.25">
      <c r="A50" t="s">
        <v>58</v>
      </c>
      <c r="B50" t="s">
        <v>334</v>
      </c>
      <c r="C50" t="s">
        <v>561</v>
      </c>
      <c r="D50" t="s">
        <v>562</v>
      </c>
      <c r="E50">
        <v>67818.14</v>
      </c>
      <c r="F50" t="s">
        <v>594</v>
      </c>
      <c r="G50">
        <v>0.6</v>
      </c>
      <c r="H50" t="s">
        <v>684</v>
      </c>
      <c r="I50" t="s">
        <v>691</v>
      </c>
      <c r="J50" t="s">
        <v>742</v>
      </c>
    </row>
    <row r="51" spans="1:10" x14ac:dyDescent="0.25">
      <c r="A51" t="s">
        <v>59</v>
      </c>
      <c r="B51" t="s">
        <v>335</v>
      </c>
      <c r="C51" t="s">
        <v>561</v>
      </c>
      <c r="D51" t="s">
        <v>568</v>
      </c>
      <c r="E51">
        <v>44403.77</v>
      </c>
      <c r="F51" s="1">
        <v>43416</v>
      </c>
      <c r="G51">
        <v>1</v>
      </c>
      <c r="H51" t="s">
        <v>683</v>
      </c>
      <c r="I51" t="s">
        <v>690</v>
      </c>
      <c r="J51" t="s">
        <v>743</v>
      </c>
    </row>
    <row r="52" spans="1:10" x14ac:dyDescent="0.25">
      <c r="A52" t="s">
        <v>60</v>
      </c>
      <c r="B52" t="s">
        <v>336</v>
      </c>
      <c r="C52" t="s">
        <v>561</v>
      </c>
      <c r="D52" t="s">
        <v>568</v>
      </c>
      <c r="E52">
        <v>40753.54</v>
      </c>
      <c r="F52" s="1">
        <v>43152</v>
      </c>
      <c r="G52">
        <v>0.6</v>
      </c>
      <c r="H52" t="s">
        <v>683</v>
      </c>
      <c r="I52" t="s">
        <v>692</v>
      </c>
      <c r="J52" t="s">
        <v>744</v>
      </c>
    </row>
    <row r="53" spans="1:10" x14ac:dyDescent="0.25">
      <c r="A53" t="s">
        <v>61</v>
      </c>
      <c r="B53" t="s">
        <v>337</v>
      </c>
      <c r="C53" t="s">
        <v>561</v>
      </c>
      <c r="D53" t="s">
        <v>562</v>
      </c>
      <c r="E53">
        <v>102934.09</v>
      </c>
      <c r="F53" t="s">
        <v>595</v>
      </c>
      <c r="G53">
        <v>1</v>
      </c>
      <c r="H53" t="s">
        <v>683</v>
      </c>
      <c r="I53" t="s">
        <v>691</v>
      </c>
      <c r="J53" t="s">
        <v>745</v>
      </c>
    </row>
    <row r="54" spans="1:10" x14ac:dyDescent="0.25">
      <c r="A54" t="s">
        <v>62</v>
      </c>
      <c r="B54" t="s">
        <v>338</v>
      </c>
      <c r="C54" t="s">
        <v>561</v>
      </c>
      <c r="D54" t="s">
        <v>566</v>
      </c>
      <c r="E54">
        <v>68860.399999999994</v>
      </c>
      <c r="F54" s="1">
        <v>43508</v>
      </c>
      <c r="G54">
        <v>0.4</v>
      </c>
      <c r="H54" t="s">
        <v>683</v>
      </c>
      <c r="I54" t="s">
        <v>691</v>
      </c>
      <c r="J54" t="s">
        <v>746</v>
      </c>
    </row>
    <row r="55" spans="1:10" x14ac:dyDescent="0.25">
      <c r="A55" t="s">
        <v>63</v>
      </c>
      <c r="B55" t="s">
        <v>339</v>
      </c>
      <c r="C55" t="s">
        <v>560</v>
      </c>
      <c r="D55" t="s">
        <v>564</v>
      </c>
      <c r="E55">
        <v>79567.69</v>
      </c>
      <c r="F55" s="1">
        <v>43272</v>
      </c>
      <c r="G55">
        <v>1</v>
      </c>
      <c r="H55" t="s">
        <v>684</v>
      </c>
      <c r="I55" t="s">
        <v>688</v>
      </c>
      <c r="J55" t="s">
        <v>747</v>
      </c>
    </row>
    <row r="56" spans="1:10" x14ac:dyDescent="0.25">
      <c r="A56" t="s">
        <v>64</v>
      </c>
      <c r="B56" t="s">
        <v>340</v>
      </c>
      <c r="C56" t="s">
        <v>561</v>
      </c>
      <c r="D56" t="s">
        <v>567</v>
      </c>
      <c r="E56">
        <v>35943.620000000003</v>
      </c>
      <c r="F56" s="1">
        <v>44078</v>
      </c>
      <c r="G56">
        <v>1</v>
      </c>
      <c r="H56" t="s">
        <v>683</v>
      </c>
      <c r="I56" t="s">
        <v>688</v>
      </c>
      <c r="J56" t="s">
        <v>748</v>
      </c>
    </row>
    <row r="57" spans="1:10" x14ac:dyDescent="0.25">
      <c r="A57" t="s">
        <v>65</v>
      </c>
      <c r="B57" t="s">
        <v>341</v>
      </c>
      <c r="C57" t="s">
        <v>561</v>
      </c>
      <c r="D57" t="s">
        <v>567</v>
      </c>
      <c r="E57">
        <v>116767.63</v>
      </c>
      <c r="F57" s="1">
        <v>43949</v>
      </c>
      <c r="G57">
        <v>0.4</v>
      </c>
      <c r="H57" t="s">
        <v>685</v>
      </c>
      <c r="I57" t="s">
        <v>691</v>
      </c>
      <c r="J57" t="s">
        <v>749</v>
      </c>
    </row>
    <row r="58" spans="1:10" x14ac:dyDescent="0.25">
      <c r="A58" t="s">
        <v>66</v>
      </c>
      <c r="B58" t="s">
        <v>342</v>
      </c>
      <c r="C58" t="s">
        <v>560</v>
      </c>
      <c r="D58" t="s">
        <v>565</v>
      </c>
      <c r="E58">
        <v>85455.53</v>
      </c>
      <c r="F58" s="1">
        <v>43839</v>
      </c>
      <c r="G58">
        <v>1</v>
      </c>
      <c r="H58" t="s">
        <v>683</v>
      </c>
      <c r="I58" t="s">
        <v>693</v>
      </c>
      <c r="J58" t="s">
        <v>750</v>
      </c>
    </row>
    <row r="59" spans="1:10" x14ac:dyDescent="0.25">
      <c r="A59" t="s">
        <v>67</v>
      </c>
      <c r="B59" t="s">
        <v>343</v>
      </c>
      <c r="C59" t="s">
        <v>561</v>
      </c>
      <c r="D59" t="s">
        <v>567</v>
      </c>
      <c r="E59">
        <v>39700.82</v>
      </c>
      <c r="F59" s="1">
        <v>44203</v>
      </c>
      <c r="G59">
        <v>0.8</v>
      </c>
      <c r="H59" t="s">
        <v>683</v>
      </c>
      <c r="I59" t="s">
        <v>692</v>
      </c>
      <c r="J59" t="s">
        <v>751</v>
      </c>
    </row>
    <row r="60" spans="1:10" x14ac:dyDescent="0.25">
      <c r="A60" t="s">
        <v>68</v>
      </c>
      <c r="B60" t="s">
        <v>344</v>
      </c>
      <c r="C60" t="s">
        <v>561</v>
      </c>
      <c r="D60" t="s">
        <v>565</v>
      </c>
      <c r="E60">
        <v>38438.239999999998</v>
      </c>
      <c r="F60" t="s">
        <v>596</v>
      </c>
      <c r="G60">
        <v>1</v>
      </c>
      <c r="H60" t="s">
        <v>683</v>
      </c>
      <c r="I60" t="s">
        <v>687</v>
      </c>
      <c r="J60" t="s">
        <v>752</v>
      </c>
    </row>
    <row r="61" spans="1:10" x14ac:dyDescent="0.25">
      <c r="A61" t="s">
        <v>69</v>
      </c>
      <c r="B61" t="s">
        <v>345</v>
      </c>
      <c r="C61" t="s">
        <v>561</v>
      </c>
      <c r="D61" t="s">
        <v>567</v>
      </c>
      <c r="E61">
        <v>50855.53</v>
      </c>
      <c r="F61" t="s">
        <v>597</v>
      </c>
      <c r="G61">
        <v>1</v>
      </c>
      <c r="H61" t="s">
        <v>683</v>
      </c>
      <c r="I61" t="s">
        <v>692</v>
      </c>
      <c r="J61" t="s">
        <v>753</v>
      </c>
    </row>
    <row r="62" spans="1:10" x14ac:dyDescent="0.25">
      <c r="A62" t="s">
        <v>70</v>
      </c>
      <c r="B62" t="s">
        <v>346</v>
      </c>
      <c r="C62" t="s">
        <v>561</v>
      </c>
      <c r="D62" t="s">
        <v>563</v>
      </c>
      <c r="E62">
        <v>0</v>
      </c>
      <c r="F62" t="s">
        <v>598</v>
      </c>
      <c r="G62">
        <v>0.2</v>
      </c>
      <c r="H62" t="s">
        <v>683</v>
      </c>
      <c r="I62" t="s">
        <v>689</v>
      </c>
      <c r="J62" t="s">
        <v>754</v>
      </c>
    </row>
    <row r="63" spans="1:10" x14ac:dyDescent="0.25">
      <c r="A63" t="s">
        <v>71</v>
      </c>
      <c r="B63" t="s">
        <v>347</v>
      </c>
      <c r="C63" t="s">
        <v>560</v>
      </c>
      <c r="D63" t="s">
        <v>565</v>
      </c>
      <c r="E63">
        <v>37362.300000000003</v>
      </c>
      <c r="F63" t="s">
        <v>599</v>
      </c>
      <c r="G63">
        <v>1</v>
      </c>
      <c r="H63" t="s">
        <v>683</v>
      </c>
      <c r="I63" t="s">
        <v>692</v>
      </c>
      <c r="J63" t="s">
        <v>755</v>
      </c>
    </row>
    <row r="64" spans="1:10" x14ac:dyDescent="0.25">
      <c r="A64" t="s">
        <v>72</v>
      </c>
      <c r="B64" t="s">
        <v>348</v>
      </c>
      <c r="C64" t="s">
        <v>560</v>
      </c>
      <c r="D64" t="s">
        <v>565</v>
      </c>
      <c r="E64">
        <v>72876.91</v>
      </c>
      <c r="F64" t="s">
        <v>600</v>
      </c>
      <c r="G64">
        <v>0.4</v>
      </c>
      <c r="H64" t="s">
        <v>684</v>
      </c>
      <c r="I64" t="s">
        <v>686</v>
      </c>
      <c r="J64" t="s">
        <v>756</v>
      </c>
    </row>
    <row r="65" spans="1:10" x14ac:dyDescent="0.25">
      <c r="A65" t="s">
        <v>73</v>
      </c>
      <c r="B65" t="s">
        <v>349</v>
      </c>
      <c r="C65" t="s">
        <v>560</v>
      </c>
      <c r="D65" t="s">
        <v>562</v>
      </c>
      <c r="E65">
        <v>31042.51</v>
      </c>
      <c r="F65" s="1">
        <v>44473</v>
      </c>
      <c r="G65">
        <v>0.3</v>
      </c>
      <c r="H65" t="s">
        <v>684</v>
      </c>
      <c r="I65" t="s">
        <v>693</v>
      </c>
      <c r="J65" t="s">
        <v>757</v>
      </c>
    </row>
    <row r="66" spans="1:10" x14ac:dyDescent="0.25">
      <c r="A66" t="s">
        <v>74</v>
      </c>
      <c r="B66" t="s">
        <v>350</v>
      </c>
      <c r="C66" t="s">
        <v>560</v>
      </c>
      <c r="D66" t="s">
        <v>565</v>
      </c>
      <c r="E66">
        <v>63705.4</v>
      </c>
      <c r="F66" s="1">
        <v>43682</v>
      </c>
      <c r="G66">
        <v>1</v>
      </c>
      <c r="H66" t="s">
        <v>683</v>
      </c>
      <c r="I66" t="s">
        <v>688</v>
      </c>
      <c r="J66" t="s">
        <v>758</v>
      </c>
    </row>
    <row r="67" spans="1:10" x14ac:dyDescent="0.25">
      <c r="A67" t="s">
        <v>75</v>
      </c>
      <c r="B67" t="s">
        <v>351</v>
      </c>
      <c r="C67" t="s">
        <v>560</v>
      </c>
      <c r="D67" t="s">
        <v>562</v>
      </c>
      <c r="E67">
        <v>59434.18</v>
      </c>
      <c r="F67" t="s">
        <v>601</v>
      </c>
      <c r="G67">
        <v>1</v>
      </c>
      <c r="H67" t="s">
        <v>685</v>
      </c>
      <c r="I67" t="s">
        <v>688</v>
      </c>
      <c r="J67" t="s">
        <v>759</v>
      </c>
    </row>
    <row r="68" spans="1:10" x14ac:dyDescent="0.25">
      <c r="A68" t="s">
        <v>76</v>
      </c>
      <c r="B68" t="s">
        <v>352</v>
      </c>
      <c r="C68" t="s">
        <v>560</v>
      </c>
      <c r="D68" t="s">
        <v>565</v>
      </c>
      <c r="E68">
        <v>84762.76</v>
      </c>
      <c r="F68" s="1">
        <v>43332</v>
      </c>
      <c r="G68">
        <v>1</v>
      </c>
      <c r="H68" t="s">
        <v>683</v>
      </c>
      <c r="I68" t="s">
        <v>693</v>
      </c>
      <c r="J68" t="s">
        <v>760</v>
      </c>
    </row>
    <row r="69" spans="1:10" x14ac:dyDescent="0.25">
      <c r="A69" t="s">
        <v>77</v>
      </c>
      <c r="B69" t="s">
        <v>353</v>
      </c>
      <c r="C69" t="s">
        <v>560</v>
      </c>
      <c r="D69" t="s">
        <v>568</v>
      </c>
      <c r="E69">
        <v>69057.320000000007</v>
      </c>
      <c r="F69" s="1">
        <v>43390</v>
      </c>
      <c r="G69">
        <v>1</v>
      </c>
      <c r="H69" t="s">
        <v>683</v>
      </c>
      <c r="I69" t="s">
        <v>692</v>
      </c>
      <c r="J69" t="s">
        <v>761</v>
      </c>
    </row>
    <row r="70" spans="1:10" x14ac:dyDescent="0.25">
      <c r="A70" t="s">
        <v>78</v>
      </c>
      <c r="B70" t="s">
        <v>354</v>
      </c>
      <c r="C70" t="s">
        <v>561</v>
      </c>
      <c r="D70" t="s">
        <v>569</v>
      </c>
      <c r="E70">
        <v>99448.78</v>
      </c>
      <c r="F70" t="s">
        <v>602</v>
      </c>
      <c r="G70">
        <v>1</v>
      </c>
      <c r="H70" t="s">
        <v>684</v>
      </c>
      <c r="I70" t="s">
        <v>690</v>
      </c>
      <c r="J70" t="s">
        <v>762</v>
      </c>
    </row>
    <row r="71" spans="1:10" x14ac:dyDescent="0.25">
      <c r="A71" t="s">
        <v>79</v>
      </c>
      <c r="B71" t="s">
        <v>355</v>
      </c>
      <c r="C71" t="s">
        <v>561</v>
      </c>
      <c r="D71" t="s">
        <v>567</v>
      </c>
      <c r="E71">
        <v>66865.490000000005</v>
      </c>
      <c r="F71" t="s">
        <v>603</v>
      </c>
      <c r="G71">
        <v>1</v>
      </c>
      <c r="H71" t="s">
        <v>683</v>
      </c>
      <c r="I71" t="s">
        <v>686</v>
      </c>
      <c r="J71" t="s">
        <v>763</v>
      </c>
    </row>
    <row r="72" spans="1:10" x14ac:dyDescent="0.25">
      <c r="A72" t="s">
        <v>80</v>
      </c>
      <c r="B72" t="s">
        <v>356</v>
      </c>
      <c r="C72" t="s">
        <v>561</v>
      </c>
      <c r="D72" t="s">
        <v>567</v>
      </c>
      <c r="E72">
        <v>113747.56</v>
      </c>
      <c r="F72" t="s">
        <v>604</v>
      </c>
      <c r="G72">
        <v>0.7</v>
      </c>
      <c r="H72" t="s">
        <v>685</v>
      </c>
      <c r="I72" t="s">
        <v>693</v>
      </c>
      <c r="J72" t="s">
        <v>764</v>
      </c>
    </row>
    <row r="73" spans="1:10" x14ac:dyDescent="0.25">
      <c r="A73" t="s">
        <v>81</v>
      </c>
      <c r="B73" t="s">
        <v>357</v>
      </c>
      <c r="C73" t="s">
        <v>561</v>
      </c>
      <c r="D73" t="s">
        <v>565</v>
      </c>
      <c r="E73">
        <v>85918.61</v>
      </c>
      <c r="F73" t="s">
        <v>605</v>
      </c>
      <c r="G73">
        <v>1</v>
      </c>
      <c r="H73" t="s">
        <v>683</v>
      </c>
      <c r="I73" t="s">
        <v>692</v>
      </c>
      <c r="J73" t="s">
        <v>765</v>
      </c>
    </row>
    <row r="74" spans="1:10" x14ac:dyDescent="0.25">
      <c r="A74" t="s">
        <v>82</v>
      </c>
      <c r="B74" t="s">
        <v>358</v>
      </c>
      <c r="C74" t="s">
        <v>561</v>
      </c>
      <c r="D74" t="s">
        <v>562</v>
      </c>
      <c r="E74">
        <v>51165.37</v>
      </c>
      <c r="F74" t="s">
        <v>606</v>
      </c>
      <c r="G74">
        <v>1</v>
      </c>
      <c r="H74" t="s">
        <v>684</v>
      </c>
      <c r="I74" t="s">
        <v>688</v>
      </c>
      <c r="J74" t="s">
        <v>766</v>
      </c>
    </row>
    <row r="75" spans="1:10" x14ac:dyDescent="0.25">
      <c r="A75" t="s">
        <v>83</v>
      </c>
      <c r="B75" t="s">
        <v>359</v>
      </c>
      <c r="C75" t="s">
        <v>561</v>
      </c>
      <c r="D75" t="s">
        <v>568</v>
      </c>
      <c r="F75" s="1">
        <v>44011</v>
      </c>
      <c r="G75">
        <v>1</v>
      </c>
      <c r="H75" t="s">
        <v>683</v>
      </c>
      <c r="I75" t="s">
        <v>688</v>
      </c>
      <c r="J75" t="s">
        <v>767</v>
      </c>
    </row>
    <row r="76" spans="1:10" x14ac:dyDescent="0.25">
      <c r="A76" t="s">
        <v>84</v>
      </c>
      <c r="B76" t="s">
        <v>360</v>
      </c>
      <c r="C76" t="s">
        <v>561</v>
      </c>
      <c r="D76" t="s">
        <v>567</v>
      </c>
      <c r="E76">
        <v>67957.899999999994</v>
      </c>
      <c r="F76" s="1">
        <v>43430</v>
      </c>
      <c r="G76">
        <v>1</v>
      </c>
      <c r="H76" t="s">
        <v>683</v>
      </c>
      <c r="I76" t="s">
        <v>686</v>
      </c>
      <c r="J76" t="s">
        <v>768</v>
      </c>
    </row>
    <row r="77" spans="1:10" x14ac:dyDescent="0.25">
      <c r="A77" t="s">
        <v>85</v>
      </c>
      <c r="B77" t="s">
        <v>361</v>
      </c>
      <c r="C77" t="s">
        <v>560</v>
      </c>
      <c r="D77" t="s">
        <v>568</v>
      </c>
      <c r="E77">
        <v>114465.93</v>
      </c>
      <c r="F77" s="1">
        <v>43291</v>
      </c>
      <c r="G77">
        <v>1</v>
      </c>
      <c r="H77" t="s">
        <v>685</v>
      </c>
      <c r="I77" t="s">
        <v>687</v>
      </c>
      <c r="J77" t="s">
        <v>769</v>
      </c>
    </row>
    <row r="78" spans="1:10" x14ac:dyDescent="0.25">
      <c r="A78" t="s">
        <v>86</v>
      </c>
      <c r="B78" t="s">
        <v>362</v>
      </c>
      <c r="C78" t="s">
        <v>560</v>
      </c>
      <c r="D78" t="s">
        <v>563</v>
      </c>
      <c r="E78">
        <v>65699.02</v>
      </c>
      <c r="F78" t="s">
        <v>607</v>
      </c>
      <c r="G78">
        <v>1</v>
      </c>
      <c r="H78" t="s">
        <v>683</v>
      </c>
      <c r="I78" t="s">
        <v>687</v>
      </c>
      <c r="J78" t="s">
        <v>770</v>
      </c>
    </row>
    <row r="79" spans="1:10" x14ac:dyDescent="0.25">
      <c r="A79" t="s">
        <v>87</v>
      </c>
      <c r="B79" t="s">
        <v>363</v>
      </c>
      <c r="C79" t="s">
        <v>560</v>
      </c>
      <c r="D79" t="s">
        <v>567</v>
      </c>
      <c r="E79">
        <v>83191.95</v>
      </c>
      <c r="F79" s="1">
        <v>43700</v>
      </c>
      <c r="G79">
        <v>0.6</v>
      </c>
      <c r="H79" t="s">
        <v>685</v>
      </c>
      <c r="I79" t="s">
        <v>690</v>
      </c>
      <c r="J79" t="s">
        <v>771</v>
      </c>
    </row>
    <row r="80" spans="1:10" x14ac:dyDescent="0.25">
      <c r="A80" t="s">
        <v>88</v>
      </c>
      <c r="B80" t="s">
        <v>364</v>
      </c>
      <c r="C80" t="s">
        <v>560</v>
      </c>
      <c r="D80" t="s">
        <v>565</v>
      </c>
      <c r="E80">
        <v>106775.14</v>
      </c>
      <c r="F80" s="1">
        <v>43563</v>
      </c>
      <c r="G80">
        <v>1</v>
      </c>
      <c r="H80" t="s">
        <v>684</v>
      </c>
      <c r="I80" t="s">
        <v>690</v>
      </c>
      <c r="J80" t="s">
        <v>772</v>
      </c>
    </row>
    <row r="81" spans="1:10" x14ac:dyDescent="0.25">
      <c r="A81" t="s">
        <v>89</v>
      </c>
      <c r="B81" t="s">
        <v>365</v>
      </c>
      <c r="C81" t="s">
        <v>561</v>
      </c>
      <c r="D81" t="s">
        <v>569</v>
      </c>
      <c r="E81">
        <v>83396.5</v>
      </c>
      <c r="F81" t="s">
        <v>608</v>
      </c>
      <c r="G81">
        <v>1</v>
      </c>
      <c r="H81" t="s">
        <v>685</v>
      </c>
      <c r="I81" t="s">
        <v>690</v>
      </c>
      <c r="J81" t="s">
        <v>773</v>
      </c>
    </row>
    <row r="82" spans="1:10" x14ac:dyDescent="0.25">
      <c r="A82" t="s">
        <v>90</v>
      </c>
      <c r="B82" t="s">
        <v>366</v>
      </c>
      <c r="C82" t="s">
        <v>560</v>
      </c>
      <c r="D82" t="s">
        <v>569</v>
      </c>
      <c r="E82">
        <v>28481.16</v>
      </c>
      <c r="F82" t="s">
        <v>609</v>
      </c>
      <c r="G82">
        <v>1</v>
      </c>
      <c r="H82" t="s">
        <v>685</v>
      </c>
      <c r="I82" t="s">
        <v>687</v>
      </c>
      <c r="J82" t="s">
        <v>774</v>
      </c>
    </row>
    <row r="83" spans="1:10" x14ac:dyDescent="0.25">
      <c r="A83" t="s">
        <v>91</v>
      </c>
      <c r="B83" t="s">
        <v>367</v>
      </c>
      <c r="C83" t="s">
        <v>560</v>
      </c>
      <c r="D83" t="s">
        <v>563</v>
      </c>
      <c r="E83">
        <v>32192.15</v>
      </c>
      <c r="F83" t="s">
        <v>610</v>
      </c>
      <c r="G83">
        <v>1</v>
      </c>
      <c r="H83" t="s">
        <v>683</v>
      </c>
      <c r="I83" t="s">
        <v>692</v>
      </c>
      <c r="J83" t="s">
        <v>775</v>
      </c>
    </row>
    <row r="84" spans="1:10" x14ac:dyDescent="0.25">
      <c r="A84" t="s">
        <v>92</v>
      </c>
      <c r="B84" t="s">
        <v>368</v>
      </c>
      <c r="C84" t="s">
        <v>561</v>
      </c>
      <c r="D84" t="s">
        <v>563</v>
      </c>
      <c r="E84">
        <v>112645.99</v>
      </c>
      <c r="F84" t="s">
        <v>611</v>
      </c>
      <c r="G84">
        <v>0.6</v>
      </c>
      <c r="H84" t="s">
        <v>683</v>
      </c>
      <c r="I84" t="s">
        <v>692</v>
      </c>
      <c r="J84" t="s">
        <v>776</v>
      </c>
    </row>
    <row r="85" spans="1:10" x14ac:dyDescent="0.25">
      <c r="A85" t="s">
        <v>93</v>
      </c>
      <c r="B85" t="s">
        <v>369</v>
      </c>
      <c r="C85" t="s">
        <v>560</v>
      </c>
      <c r="D85" t="s">
        <v>569</v>
      </c>
      <c r="E85">
        <v>107107.6</v>
      </c>
      <c r="F85" t="s">
        <v>612</v>
      </c>
      <c r="G85">
        <v>0.9</v>
      </c>
      <c r="H85" t="s">
        <v>683</v>
      </c>
      <c r="I85" t="s">
        <v>692</v>
      </c>
      <c r="J85" t="s">
        <v>777</v>
      </c>
    </row>
    <row r="86" spans="1:10" x14ac:dyDescent="0.25">
      <c r="A86" t="s">
        <v>94</v>
      </c>
      <c r="B86" t="s">
        <v>370</v>
      </c>
      <c r="C86" t="s">
        <v>561</v>
      </c>
      <c r="D86" t="s">
        <v>562</v>
      </c>
      <c r="E86">
        <v>80695.740000000005</v>
      </c>
      <c r="F86" t="s">
        <v>613</v>
      </c>
      <c r="G86">
        <v>0.8</v>
      </c>
      <c r="H86" t="s">
        <v>683</v>
      </c>
      <c r="I86" t="s">
        <v>693</v>
      </c>
      <c r="J86" t="s">
        <v>778</v>
      </c>
    </row>
    <row r="87" spans="1:10" x14ac:dyDescent="0.25">
      <c r="A87" t="s">
        <v>95</v>
      </c>
      <c r="B87" t="s">
        <v>371</v>
      </c>
      <c r="C87" t="s">
        <v>561</v>
      </c>
      <c r="D87" t="s">
        <v>565</v>
      </c>
      <c r="E87">
        <v>75475.929999999993</v>
      </c>
      <c r="F87" t="s">
        <v>614</v>
      </c>
      <c r="G87">
        <v>1</v>
      </c>
      <c r="H87" t="s">
        <v>683</v>
      </c>
      <c r="I87" t="s">
        <v>690</v>
      </c>
      <c r="J87" t="s">
        <v>779</v>
      </c>
    </row>
    <row r="88" spans="1:10" x14ac:dyDescent="0.25">
      <c r="A88" t="s">
        <v>96</v>
      </c>
      <c r="B88" t="s">
        <v>372</v>
      </c>
      <c r="C88" t="s">
        <v>561</v>
      </c>
      <c r="D88" t="s">
        <v>565</v>
      </c>
      <c r="E88">
        <v>86558.58</v>
      </c>
      <c r="F88" t="s">
        <v>615</v>
      </c>
      <c r="G88">
        <v>1</v>
      </c>
      <c r="H88" t="s">
        <v>684</v>
      </c>
      <c r="I88" t="s">
        <v>692</v>
      </c>
      <c r="J88" t="s">
        <v>780</v>
      </c>
    </row>
    <row r="89" spans="1:10" x14ac:dyDescent="0.25">
      <c r="A89" t="s">
        <v>97</v>
      </c>
      <c r="B89" t="s">
        <v>373</v>
      </c>
      <c r="C89" t="s">
        <v>560</v>
      </c>
      <c r="D89" t="s">
        <v>569</v>
      </c>
      <c r="E89">
        <v>84309.95</v>
      </c>
      <c r="F89" s="1">
        <v>44501</v>
      </c>
      <c r="G89">
        <v>1</v>
      </c>
      <c r="H89" t="s">
        <v>683</v>
      </c>
      <c r="I89" t="s">
        <v>689</v>
      </c>
      <c r="J89" t="s">
        <v>781</v>
      </c>
    </row>
    <row r="90" spans="1:10" x14ac:dyDescent="0.25">
      <c r="A90" t="s">
        <v>98</v>
      </c>
      <c r="B90" t="s">
        <v>374</v>
      </c>
      <c r="C90" t="s">
        <v>561</v>
      </c>
      <c r="D90" t="s">
        <v>564</v>
      </c>
      <c r="E90">
        <v>91645.04</v>
      </c>
      <c r="F90" s="1">
        <v>44223</v>
      </c>
      <c r="G90">
        <v>1</v>
      </c>
      <c r="H90" t="s">
        <v>683</v>
      </c>
      <c r="I90" t="s">
        <v>690</v>
      </c>
      <c r="J90" t="s">
        <v>782</v>
      </c>
    </row>
    <row r="91" spans="1:10" x14ac:dyDescent="0.25">
      <c r="A91" t="s">
        <v>99</v>
      </c>
      <c r="B91" t="s">
        <v>375</v>
      </c>
      <c r="C91" t="s">
        <v>561</v>
      </c>
      <c r="D91" t="s">
        <v>566</v>
      </c>
      <c r="E91">
        <v>101187.36</v>
      </c>
      <c r="F91" s="1">
        <v>43258</v>
      </c>
      <c r="G91">
        <v>1</v>
      </c>
      <c r="H91" t="s">
        <v>684</v>
      </c>
      <c r="I91" t="s">
        <v>687</v>
      </c>
      <c r="J91" t="s">
        <v>783</v>
      </c>
    </row>
    <row r="92" spans="1:10" x14ac:dyDescent="0.25">
      <c r="A92" t="s">
        <v>100</v>
      </c>
      <c r="B92" t="s">
        <v>376</v>
      </c>
      <c r="C92" t="s">
        <v>561</v>
      </c>
      <c r="D92" t="s">
        <v>564</v>
      </c>
      <c r="E92">
        <v>80169.42</v>
      </c>
      <c r="F92" t="s">
        <v>591</v>
      </c>
      <c r="G92">
        <v>1</v>
      </c>
      <c r="H92" t="s">
        <v>683</v>
      </c>
      <c r="I92" t="s">
        <v>689</v>
      </c>
      <c r="J92" t="s">
        <v>784</v>
      </c>
    </row>
    <row r="93" spans="1:10" x14ac:dyDescent="0.25">
      <c r="A93" t="s">
        <v>101</v>
      </c>
      <c r="B93" t="s">
        <v>377</v>
      </c>
      <c r="C93" t="s">
        <v>561</v>
      </c>
      <c r="D93" t="s">
        <v>566</v>
      </c>
      <c r="E93">
        <v>104038.9</v>
      </c>
      <c r="F93" s="1">
        <v>43815</v>
      </c>
      <c r="G93">
        <v>1</v>
      </c>
      <c r="H93" t="s">
        <v>684</v>
      </c>
      <c r="I93" t="s">
        <v>689</v>
      </c>
      <c r="J93" t="s">
        <v>785</v>
      </c>
    </row>
    <row r="94" spans="1:10" x14ac:dyDescent="0.25">
      <c r="A94" t="s">
        <v>102</v>
      </c>
      <c r="B94" t="s">
        <v>378</v>
      </c>
      <c r="C94" t="s">
        <v>560</v>
      </c>
      <c r="D94" t="s">
        <v>569</v>
      </c>
      <c r="E94">
        <v>99683.67</v>
      </c>
      <c r="F94" t="s">
        <v>616</v>
      </c>
      <c r="G94">
        <v>1</v>
      </c>
      <c r="H94" t="s">
        <v>684</v>
      </c>
      <c r="I94" t="s">
        <v>692</v>
      </c>
      <c r="J94" t="s">
        <v>786</v>
      </c>
    </row>
    <row r="95" spans="1:10" x14ac:dyDescent="0.25">
      <c r="A95" t="s">
        <v>103</v>
      </c>
      <c r="B95" t="s">
        <v>379</v>
      </c>
      <c r="C95" t="s">
        <v>560</v>
      </c>
      <c r="D95" t="s">
        <v>565</v>
      </c>
      <c r="E95">
        <v>47362.62</v>
      </c>
      <c r="F95" t="s">
        <v>617</v>
      </c>
      <c r="G95">
        <v>1</v>
      </c>
      <c r="H95" t="s">
        <v>685</v>
      </c>
      <c r="I95" t="s">
        <v>687</v>
      </c>
      <c r="J95" t="s">
        <v>787</v>
      </c>
    </row>
    <row r="96" spans="1:10" x14ac:dyDescent="0.25">
      <c r="A96" t="s">
        <v>104</v>
      </c>
      <c r="B96" t="s">
        <v>380</v>
      </c>
      <c r="C96" t="s">
        <v>561</v>
      </c>
      <c r="D96" t="s">
        <v>567</v>
      </c>
      <c r="E96">
        <v>70649.460000000006</v>
      </c>
      <c r="F96" t="s">
        <v>618</v>
      </c>
      <c r="G96">
        <v>1</v>
      </c>
      <c r="H96" t="s">
        <v>683</v>
      </c>
      <c r="I96" t="s">
        <v>687</v>
      </c>
      <c r="J96" t="s">
        <v>788</v>
      </c>
    </row>
    <row r="97" spans="1:10" x14ac:dyDescent="0.25">
      <c r="A97" t="s">
        <v>105</v>
      </c>
      <c r="B97" t="s">
        <v>381</v>
      </c>
      <c r="C97" t="s">
        <v>560</v>
      </c>
      <c r="D97" t="s">
        <v>562</v>
      </c>
      <c r="E97">
        <v>75733.740000000005</v>
      </c>
      <c r="F97" t="s">
        <v>619</v>
      </c>
      <c r="G97">
        <v>1</v>
      </c>
      <c r="H97" t="s">
        <v>683</v>
      </c>
      <c r="I97" t="s">
        <v>689</v>
      </c>
      <c r="J97" t="s">
        <v>789</v>
      </c>
    </row>
    <row r="98" spans="1:10" x14ac:dyDescent="0.25">
      <c r="A98" t="s">
        <v>106</v>
      </c>
      <c r="B98" t="s">
        <v>382</v>
      </c>
      <c r="C98" t="s">
        <v>560</v>
      </c>
      <c r="D98" t="s">
        <v>567</v>
      </c>
      <c r="E98">
        <v>71823.56</v>
      </c>
      <c r="F98" t="s">
        <v>620</v>
      </c>
      <c r="G98">
        <v>0.3</v>
      </c>
      <c r="H98" t="s">
        <v>685</v>
      </c>
      <c r="I98" t="s">
        <v>690</v>
      </c>
      <c r="J98" t="s">
        <v>790</v>
      </c>
    </row>
    <row r="99" spans="1:10" x14ac:dyDescent="0.25">
      <c r="A99" t="s">
        <v>107</v>
      </c>
      <c r="B99" t="s">
        <v>383</v>
      </c>
      <c r="C99" t="s">
        <v>561</v>
      </c>
      <c r="D99" t="s">
        <v>567</v>
      </c>
      <c r="E99">
        <v>41934.71</v>
      </c>
      <c r="F99" s="1">
        <v>43943</v>
      </c>
      <c r="G99">
        <v>1</v>
      </c>
      <c r="H99" t="s">
        <v>683</v>
      </c>
      <c r="I99" t="s">
        <v>686</v>
      </c>
      <c r="J99" t="s">
        <v>791</v>
      </c>
    </row>
    <row r="100" spans="1:10" x14ac:dyDescent="0.25">
      <c r="A100" t="s">
        <v>108</v>
      </c>
      <c r="B100" t="s">
        <v>384</v>
      </c>
      <c r="C100" t="s">
        <v>561</v>
      </c>
      <c r="D100" t="s">
        <v>565</v>
      </c>
      <c r="E100">
        <v>66572.58</v>
      </c>
      <c r="F100" t="s">
        <v>621</v>
      </c>
      <c r="G100">
        <v>1</v>
      </c>
      <c r="H100" t="s">
        <v>683</v>
      </c>
      <c r="I100" t="s">
        <v>693</v>
      </c>
      <c r="J100" t="s">
        <v>792</v>
      </c>
    </row>
    <row r="101" spans="1:10" x14ac:dyDescent="0.25">
      <c r="A101" t="s">
        <v>109</v>
      </c>
      <c r="B101" t="s">
        <v>385</v>
      </c>
      <c r="C101" t="s">
        <v>561</v>
      </c>
      <c r="D101" t="s">
        <v>563</v>
      </c>
      <c r="E101">
        <v>76932.600000000006</v>
      </c>
      <c r="F101" t="s">
        <v>622</v>
      </c>
      <c r="G101">
        <v>1</v>
      </c>
      <c r="H101" t="s">
        <v>683</v>
      </c>
      <c r="I101" t="s">
        <v>689</v>
      </c>
      <c r="J101" t="s">
        <v>793</v>
      </c>
    </row>
    <row r="102" spans="1:10" x14ac:dyDescent="0.25">
      <c r="A102" t="s">
        <v>110</v>
      </c>
      <c r="B102" t="s">
        <v>386</v>
      </c>
      <c r="C102" t="s">
        <v>560</v>
      </c>
      <c r="D102" t="s">
        <v>569</v>
      </c>
      <c r="E102">
        <v>59258.19</v>
      </c>
      <c r="F102" s="1">
        <v>43452</v>
      </c>
      <c r="G102">
        <v>0.8</v>
      </c>
      <c r="H102" t="s">
        <v>683</v>
      </c>
      <c r="I102" t="s">
        <v>693</v>
      </c>
      <c r="J102" t="s">
        <v>794</v>
      </c>
    </row>
    <row r="103" spans="1:10" x14ac:dyDescent="0.25">
      <c r="A103" t="s">
        <v>111</v>
      </c>
      <c r="B103" t="s">
        <v>387</v>
      </c>
      <c r="C103" t="s">
        <v>560</v>
      </c>
      <c r="D103" t="s">
        <v>563</v>
      </c>
      <c r="E103">
        <v>112778.28</v>
      </c>
      <c r="F103" s="1">
        <v>43250</v>
      </c>
      <c r="G103">
        <v>1</v>
      </c>
      <c r="H103" t="s">
        <v>684</v>
      </c>
      <c r="I103" t="s">
        <v>692</v>
      </c>
      <c r="J103" t="s">
        <v>795</v>
      </c>
    </row>
    <row r="104" spans="1:10" x14ac:dyDescent="0.25">
      <c r="A104" t="s">
        <v>112</v>
      </c>
      <c r="B104" t="s">
        <v>388</v>
      </c>
      <c r="C104" t="s">
        <v>561</v>
      </c>
      <c r="D104" t="s">
        <v>564</v>
      </c>
      <c r="E104">
        <v>44845.33</v>
      </c>
      <c r="F104" t="s">
        <v>623</v>
      </c>
      <c r="G104">
        <v>1</v>
      </c>
      <c r="H104" t="s">
        <v>683</v>
      </c>
      <c r="I104" t="s">
        <v>686</v>
      </c>
      <c r="J104" t="s">
        <v>796</v>
      </c>
    </row>
    <row r="105" spans="1:10" x14ac:dyDescent="0.25">
      <c r="A105" t="s">
        <v>113</v>
      </c>
      <c r="B105" t="s">
        <v>389</v>
      </c>
      <c r="C105" t="s">
        <v>560</v>
      </c>
      <c r="D105" t="s">
        <v>563</v>
      </c>
      <c r="E105">
        <v>115191.38</v>
      </c>
      <c r="F105" s="1">
        <v>44004</v>
      </c>
      <c r="G105">
        <v>1</v>
      </c>
      <c r="H105" t="s">
        <v>683</v>
      </c>
      <c r="I105" t="s">
        <v>688</v>
      </c>
      <c r="J105" t="s">
        <v>797</v>
      </c>
    </row>
    <row r="106" spans="1:10" x14ac:dyDescent="0.25">
      <c r="A106" t="s">
        <v>114</v>
      </c>
      <c r="B106" t="s">
        <v>390</v>
      </c>
      <c r="C106" t="s">
        <v>561</v>
      </c>
      <c r="D106" t="s">
        <v>569</v>
      </c>
      <c r="E106">
        <v>111049.84</v>
      </c>
      <c r="F106" s="1">
        <v>44393</v>
      </c>
      <c r="G106">
        <v>1</v>
      </c>
      <c r="H106" t="s">
        <v>683</v>
      </c>
      <c r="I106" t="s">
        <v>693</v>
      </c>
      <c r="J106" t="s">
        <v>798</v>
      </c>
    </row>
    <row r="107" spans="1:10" x14ac:dyDescent="0.25">
      <c r="A107" t="s">
        <v>115</v>
      </c>
      <c r="B107" t="s">
        <v>391</v>
      </c>
      <c r="C107" t="s">
        <v>560</v>
      </c>
      <c r="D107" t="s">
        <v>564</v>
      </c>
      <c r="E107">
        <v>75974.990000000005</v>
      </c>
      <c r="F107" t="s">
        <v>624</v>
      </c>
      <c r="G107">
        <v>1</v>
      </c>
      <c r="H107" t="s">
        <v>683</v>
      </c>
      <c r="I107" t="s">
        <v>692</v>
      </c>
      <c r="J107" t="s">
        <v>799</v>
      </c>
    </row>
    <row r="108" spans="1:10" x14ac:dyDescent="0.25">
      <c r="A108" t="s">
        <v>116</v>
      </c>
      <c r="B108" t="s">
        <v>392</v>
      </c>
      <c r="C108" t="s">
        <v>560</v>
      </c>
      <c r="D108" t="s">
        <v>563</v>
      </c>
      <c r="E108">
        <v>42161.77</v>
      </c>
      <c r="F108" t="s">
        <v>625</v>
      </c>
      <c r="G108">
        <v>1</v>
      </c>
      <c r="H108" t="s">
        <v>683</v>
      </c>
      <c r="I108" t="s">
        <v>689</v>
      </c>
      <c r="J108" t="s">
        <v>800</v>
      </c>
    </row>
    <row r="109" spans="1:10" x14ac:dyDescent="0.25">
      <c r="A109" t="s">
        <v>117</v>
      </c>
      <c r="B109" t="s">
        <v>393</v>
      </c>
      <c r="C109" t="s">
        <v>561</v>
      </c>
      <c r="D109" t="s">
        <v>566</v>
      </c>
      <c r="E109">
        <v>71371.37</v>
      </c>
      <c r="F109" s="1">
        <v>43392</v>
      </c>
      <c r="G109">
        <v>1</v>
      </c>
      <c r="H109" t="s">
        <v>683</v>
      </c>
      <c r="I109" t="s">
        <v>692</v>
      </c>
      <c r="J109" t="s">
        <v>801</v>
      </c>
    </row>
    <row r="110" spans="1:10" x14ac:dyDescent="0.25">
      <c r="A110" t="s">
        <v>118</v>
      </c>
      <c r="B110" t="s">
        <v>394</v>
      </c>
      <c r="C110" t="s">
        <v>560</v>
      </c>
      <c r="D110" t="s">
        <v>566</v>
      </c>
      <c r="E110">
        <v>49915.14</v>
      </c>
      <c r="F110" t="s">
        <v>626</v>
      </c>
      <c r="G110">
        <v>1</v>
      </c>
      <c r="H110" t="s">
        <v>683</v>
      </c>
      <c r="I110" t="s">
        <v>687</v>
      </c>
      <c r="J110" t="s">
        <v>802</v>
      </c>
    </row>
    <row r="111" spans="1:10" x14ac:dyDescent="0.25">
      <c r="A111" t="s">
        <v>119</v>
      </c>
      <c r="B111" t="s">
        <v>395</v>
      </c>
      <c r="C111" t="s">
        <v>561</v>
      </c>
      <c r="D111" t="s">
        <v>565</v>
      </c>
      <c r="E111">
        <v>0</v>
      </c>
      <c r="F111" s="1">
        <v>44011</v>
      </c>
      <c r="G111">
        <v>1</v>
      </c>
      <c r="H111" t="s">
        <v>683</v>
      </c>
      <c r="I111" t="s">
        <v>689</v>
      </c>
      <c r="J111" t="s">
        <v>803</v>
      </c>
    </row>
    <row r="112" spans="1:10" x14ac:dyDescent="0.25">
      <c r="A112" t="s">
        <v>120</v>
      </c>
      <c r="B112" t="s">
        <v>396</v>
      </c>
      <c r="C112" t="s">
        <v>561</v>
      </c>
      <c r="D112" t="s">
        <v>564</v>
      </c>
      <c r="E112">
        <v>37062.1</v>
      </c>
      <c r="F112" s="1">
        <v>44357</v>
      </c>
      <c r="G112">
        <v>1</v>
      </c>
      <c r="H112" t="s">
        <v>685</v>
      </c>
      <c r="I112" t="s">
        <v>688</v>
      </c>
      <c r="J112" t="s">
        <v>804</v>
      </c>
    </row>
    <row r="113" spans="1:10" x14ac:dyDescent="0.25">
      <c r="A113" t="s">
        <v>121</v>
      </c>
      <c r="B113" t="s">
        <v>397</v>
      </c>
      <c r="C113" t="s">
        <v>561</v>
      </c>
      <c r="D113" t="s">
        <v>565</v>
      </c>
      <c r="E113">
        <v>0</v>
      </c>
      <c r="F113" s="1">
        <v>43504</v>
      </c>
      <c r="G113">
        <v>1</v>
      </c>
      <c r="H113" t="s">
        <v>683</v>
      </c>
      <c r="I113" t="s">
        <v>687</v>
      </c>
      <c r="J113" t="s">
        <v>805</v>
      </c>
    </row>
    <row r="114" spans="1:10" x14ac:dyDescent="0.25">
      <c r="A114" t="s">
        <v>122</v>
      </c>
      <c r="B114" t="s">
        <v>398</v>
      </c>
      <c r="C114" t="s">
        <v>560</v>
      </c>
      <c r="D114" t="s">
        <v>562</v>
      </c>
      <c r="F114" s="1">
        <v>44077</v>
      </c>
      <c r="G114">
        <v>1</v>
      </c>
      <c r="H114" t="s">
        <v>684</v>
      </c>
      <c r="I114" t="s">
        <v>690</v>
      </c>
      <c r="J114" t="s">
        <v>806</v>
      </c>
    </row>
    <row r="115" spans="1:10" x14ac:dyDescent="0.25">
      <c r="A115" t="s">
        <v>123</v>
      </c>
      <c r="B115" t="s">
        <v>399</v>
      </c>
      <c r="C115" t="s">
        <v>560</v>
      </c>
      <c r="D115" t="s">
        <v>568</v>
      </c>
      <c r="E115">
        <v>90884.32</v>
      </c>
      <c r="F115" t="s">
        <v>584</v>
      </c>
      <c r="G115">
        <v>1</v>
      </c>
      <c r="H115" t="s">
        <v>683</v>
      </c>
      <c r="I115" t="s">
        <v>692</v>
      </c>
      <c r="J115" t="s">
        <v>807</v>
      </c>
    </row>
    <row r="116" spans="1:10" x14ac:dyDescent="0.25">
      <c r="A116" t="s">
        <v>124</v>
      </c>
      <c r="B116" t="s">
        <v>400</v>
      </c>
      <c r="C116" t="s">
        <v>561</v>
      </c>
      <c r="D116" t="s">
        <v>565</v>
      </c>
      <c r="E116">
        <v>89838.77</v>
      </c>
      <c r="F116" s="1">
        <v>43602</v>
      </c>
      <c r="G116">
        <v>1</v>
      </c>
      <c r="H116" t="s">
        <v>683</v>
      </c>
      <c r="I116" t="s">
        <v>691</v>
      </c>
      <c r="J116" t="s">
        <v>808</v>
      </c>
    </row>
    <row r="117" spans="1:10" x14ac:dyDescent="0.25">
      <c r="A117" t="s">
        <v>125</v>
      </c>
      <c r="B117" t="s">
        <v>401</v>
      </c>
      <c r="C117" t="s">
        <v>560</v>
      </c>
      <c r="D117" t="s">
        <v>568</v>
      </c>
      <c r="E117">
        <v>0</v>
      </c>
      <c r="F117" t="s">
        <v>627</v>
      </c>
      <c r="G117">
        <v>1</v>
      </c>
      <c r="H117" t="s">
        <v>683</v>
      </c>
      <c r="I117" t="s">
        <v>691</v>
      </c>
      <c r="J117" t="s">
        <v>809</v>
      </c>
    </row>
    <row r="118" spans="1:10" x14ac:dyDescent="0.25">
      <c r="A118" t="s">
        <v>126</v>
      </c>
      <c r="B118" t="s">
        <v>402</v>
      </c>
      <c r="C118" t="s">
        <v>560</v>
      </c>
      <c r="D118" t="s">
        <v>569</v>
      </c>
      <c r="E118">
        <v>68887.839999999997</v>
      </c>
      <c r="F118" s="1">
        <v>43297</v>
      </c>
      <c r="G118">
        <v>1</v>
      </c>
      <c r="H118" t="s">
        <v>683</v>
      </c>
      <c r="I118" t="s">
        <v>687</v>
      </c>
      <c r="J118" t="s">
        <v>810</v>
      </c>
    </row>
    <row r="119" spans="1:10" x14ac:dyDescent="0.25">
      <c r="A119" t="s">
        <v>127</v>
      </c>
      <c r="B119" t="s">
        <v>403</v>
      </c>
      <c r="C119" t="s">
        <v>561</v>
      </c>
      <c r="D119" t="s">
        <v>562</v>
      </c>
      <c r="E119">
        <v>106775.14</v>
      </c>
      <c r="F119" s="1">
        <v>43563</v>
      </c>
      <c r="G119">
        <v>1</v>
      </c>
      <c r="H119" t="s">
        <v>684</v>
      </c>
      <c r="I119" t="s">
        <v>690</v>
      </c>
      <c r="J119" t="s">
        <v>811</v>
      </c>
    </row>
    <row r="120" spans="1:10" x14ac:dyDescent="0.25">
      <c r="A120" t="s">
        <v>128</v>
      </c>
      <c r="B120" t="s">
        <v>404</v>
      </c>
      <c r="C120" t="s">
        <v>561</v>
      </c>
      <c r="D120" t="s">
        <v>568</v>
      </c>
      <c r="E120">
        <v>89690.38</v>
      </c>
      <c r="F120" t="s">
        <v>628</v>
      </c>
      <c r="G120">
        <v>1</v>
      </c>
      <c r="H120" t="s">
        <v>683</v>
      </c>
      <c r="I120" t="s">
        <v>690</v>
      </c>
      <c r="J120" t="s">
        <v>812</v>
      </c>
    </row>
    <row r="121" spans="1:10" x14ac:dyDescent="0.25">
      <c r="A121" t="s">
        <v>129</v>
      </c>
      <c r="B121" t="s">
        <v>405</v>
      </c>
      <c r="C121" t="s">
        <v>561</v>
      </c>
      <c r="D121" t="s">
        <v>565</v>
      </c>
      <c r="E121">
        <v>111229.47</v>
      </c>
      <c r="F121" t="s">
        <v>629</v>
      </c>
      <c r="G121">
        <v>1</v>
      </c>
      <c r="H121" t="s">
        <v>683</v>
      </c>
      <c r="I121" t="s">
        <v>686</v>
      </c>
      <c r="J121" t="s">
        <v>813</v>
      </c>
    </row>
    <row r="122" spans="1:10" x14ac:dyDescent="0.25">
      <c r="A122" t="s">
        <v>130</v>
      </c>
      <c r="B122" t="s">
        <v>406</v>
      </c>
      <c r="C122" t="s">
        <v>560</v>
      </c>
      <c r="D122" t="s">
        <v>566</v>
      </c>
      <c r="E122">
        <v>67633.850000000006</v>
      </c>
      <c r="F122" s="1">
        <v>43340</v>
      </c>
      <c r="G122">
        <v>1</v>
      </c>
      <c r="H122" t="s">
        <v>683</v>
      </c>
      <c r="I122" t="s">
        <v>687</v>
      </c>
      <c r="J122" t="s">
        <v>814</v>
      </c>
    </row>
    <row r="123" spans="1:10" x14ac:dyDescent="0.25">
      <c r="A123" t="s">
        <v>131</v>
      </c>
      <c r="B123" t="s">
        <v>407</v>
      </c>
      <c r="C123" t="s">
        <v>561</v>
      </c>
      <c r="D123" t="s">
        <v>567</v>
      </c>
      <c r="E123">
        <v>111815.49</v>
      </c>
      <c r="F123" s="1">
        <v>43895</v>
      </c>
      <c r="G123">
        <v>0.7</v>
      </c>
      <c r="H123" t="s">
        <v>685</v>
      </c>
      <c r="I123" t="s">
        <v>691</v>
      </c>
      <c r="J123" t="s">
        <v>815</v>
      </c>
    </row>
    <row r="124" spans="1:10" x14ac:dyDescent="0.25">
      <c r="A124" t="s">
        <v>132</v>
      </c>
      <c r="B124" t="s">
        <v>408</v>
      </c>
      <c r="C124" t="s">
        <v>561</v>
      </c>
      <c r="D124" t="s">
        <v>565</v>
      </c>
      <c r="E124">
        <v>39784.239999999998</v>
      </c>
      <c r="F124" t="s">
        <v>630</v>
      </c>
      <c r="G124">
        <v>1</v>
      </c>
      <c r="H124" t="s">
        <v>684</v>
      </c>
      <c r="I124" t="s">
        <v>688</v>
      </c>
      <c r="J124" t="s">
        <v>816</v>
      </c>
    </row>
    <row r="125" spans="1:10" x14ac:dyDescent="0.25">
      <c r="A125" t="s">
        <v>133</v>
      </c>
      <c r="B125" t="s">
        <v>409</v>
      </c>
      <c r="C125" t="s">
        <v>560</v>
      </c>
      <c r="D125" t="s">
        <v>567</v>
      </c>
      <c r="E125">
        <v>89829.33</v>
      </c>
      <c r="F125" s="1">
        <v>43794</v>
      </c>
      <c r="G125">
        <v>1</v>
      </c>
      <c r="H125" t="s">
        <v>685</v>
      </c>
      <c r="I125" t="s">
        <v>690</v>
      </c>
      <c r="J125" t="s">
        <v>817</v>
      </c>
    </row>
    <row r="126" spans="1:10" x14ac:dyDescent="0.25">
      <c r="A126" t="s">
        <v>134</v>
      </c>
      <c r="B126" t="s">
        <v>410</v>
      </c>
      <c r="C126" t="s">
        <v>560</v>
      </c>
      <c r="D126" t="s">
        <v>564</v>
      </c>
      <c r="E126">
        <v>111815.49</v>
      </c>
      <c r="F126" s="1">
        <v>43895</v>
      </c>
      <c r="G126">
        <v>0.7</v>
      </c>
      <c r="H126" t="s">
        <v>685</v>
      </c>
      <c r="I126" t="s">
        <v>689</v>
      </c>
      <c r="J126" t="s">
        <v>818</v>
      </c>
    </row>
    <row r="127" spans="1:10" x14ac:dyDescent="0.25">
      <c r="A127" t="s">
        <v>135</v>
      </c>
      <c r="B127" t="s">
        <v>411</v>
      </c>
      <c r="C127" t="s">
        <v>561</v>
      </c>
      <c r="D127" t="s">
        <v>567</v>
      </c>
      <c r="E127">
        <v>72843.23</v>
      </c>
      <c r="F127" s="1">
        <v>43280</v>
      </c>
      <c r="G127">
        <v>1</v>
      </c>
      <c r="H127" t="s">
        <v>684</v>
      </c>
      <c r="I127" t="s">
        <v>693</v>
      </c>
      <c r="J127" t="s">
        <v>819</v>
      </c>
    </row>
    <row r="128" spans="1:10" x14ac:dyDescent="0.25">
      <c r="A128" t="s">
        <v>136</v>
      </c>
      <c r="B128" t="s">
        <v>412</v>
      </c>
      <c r="C128" t="s">
        <v>560</v>
      </c>
      <c r="D128" t="s">
        <v>563</v>
      </c>
      <c r="E128">
        <v>71823.56</v>
      </c>
      <c r="F128" t="s">
        <v>620</v>
      </c>
      <c r="G128">
        <v>0.3</v>
      </c>
      <c r="H128" t="s">
        <v>685</v>
      </c>
      <c r="I128" t="s">
        <v>690</v>
      </c>
      <c r="J128" t="s">
        <v>820</v>
      </c>
    </row>
    <row r="129" spans="1:10" x14ac:dyDescent="0.25">
      <c r="A129" t="s">
        <v>137</v>
      </c>
      <c r="B129" t="s">
        <v>413</v>
      </c>
      <c r="C129" t="s">
        <v>560</v>
      </c>
      <c r="D129" t="s">
        <v>567</v>
      </c>
      <c r="E129">
        <v>88511.17</v>
      </c>
      <c r="F129" t="s">
        <v>631</v>
      </c>
      <c r="G129">
        <v>1</v>
      </c>
      <c r="H129" t="s">
        <v>683</v>
      </c>
      <c r="I129" t="s">
        <v>687</v>
      </c>
      <c r="J129" t="s">
        <v>821</v>
      </c>
    </row>
    <row r="130" spans="1:10" x14ac:dyDescent="0.25">
      <c r="A130" t="s">
        <v>138</v>
      </c>
      <c r="B130" t="s">
        <v>414</v>
      </c>
      <c r="C130" t="s">
        <v>561</v>
      </c>
      <c r="D130" t="s">
        <v>567</v>
      </c>
      <c r="E130">
        <v>36547.58</v>
      </c>
      <c r="F130" s="1">
        <v>43416</v>
      </c>
      <c r="G130">
        <v>1</v>
      </c>
      <c r="H130" t="s">
        <v>683</v>
      </c>
      <c r="I130" t="s">
        <v>687</v>
      </c>
      <c r="J130" t="s">
        <v>822</v>
      </c>
    </row>
    <row r="131" spans="1:10" x14ac:dyDescent="0.25">
      <c r="A131" t="s">
        <v>139</v>
      </c>
      <c r="B131" t="s">
        <v>415</v>
      </c>
      <c r="C131" t="s">
        <v>561</v>
      </c>
      <c r="D131" t="s">
        <v>563</v>
      </c>
      <c r="E131">
        <v>95954.02</v>
      </c>
      <c r="F131" s="1">
        <v>43567</v>
      </c>
      <c r="G131">
        <v>0.3</v>
      </c>
      <c r="H131" t="s">
        <v>683</v>
      </c>
      <c r="I131" t="s">
        <v>690</v>
      </c>
      <c r="J131" t="s">
        <v>823</v>
      </c>
    </row>
    <row r="132" spans="1:10" x14ac:dyDescent="0.25">
      <c r="A132" t="s">
        <v>140</v>
      </c>
      <c r="B132" t="s">
        <v>416</v>
      </c>
      <c r="C132" t="s">
        <v>560</v>
      </c>
      <c r="D132" t="s">
        <v>565</v>
      </c>
      <c r="E132">
        <v>95677.9</v>
      </c>
      <c r="F132" t="s">
        <v>632</v>
      </c>
      <c r="G132">
        <v>0.3</v>
      </c>
      <c r="H132" t="s">
        <v>683</v>
      </c>
      <c r="I132" t="s">
        <v>690</v>
      </c>
      <c r="J132" t="s">
        <v>824</v>
      </c>
    </row>
    <row r="133" spans="1:10" x14ac:dyDescent="0.25">
      <c r="A133" t="s">
        <v>141</v>
      </c>
      <c r="B133" t="s">
        <v>417</v>
      </c>
      <c r="C133" t="s">
        <v>561</v>
      </c>
      <c r="D133" t="s">
        <v>565</v>
      </c>
      <c r="E133">
        <v>76303.820000000007</v>
      </c>
      <c r="F133" s="1">
        <v>43458</v>
      </c>
      <c r="G133">
        <v>1</v>
      </c>
      <c r="H133" t="s">
        <v>684</v>
      </c>
      <c r="I133" t="s">
        <v>690</v>
      </c>
      <c r="J133" t="s">
        <v>825</v>
      </c>
    </row>
    <row r="134" spans="1:10" x14ac:dyDescent="0.25">
      <c r="A134" t="s">
        <v>142</v>
      </c>
      <c r="B134" t="s">
        <v>418</v>
      </c>
      <c r="C134" t="s">
        <v>560</v>
      </c>
      <c r="D134" t="s">
        <v>566</v>
      </c>
      <c r="F134" s="1">
        <v>43538</v>
      </c>
      <c r="G134">
        <v>1</v>
      </c>
      <c r="H134" t="s">
        <v>683</v>
      </c>
      <c r="I134" t="s">
        <v>691</v>
      </c>
      <c r="J134" t="s">
        <v>826</v>
      </c>
    </row>
    <row r="135" spans="1:10" x14ac:dyDescent="0.25">
      <c r="A135" t="s">
        <v>143</v>
      </c>
      <c r="B135" t="s">
        <v>419</v>
      </c>
      <c r="C135" t="s">
        <v>561</v>
      </c>
      <c r="D135" t="s">
        <v>562</v>
      </c>
      <c r="E135">
        <v>99460.78</v>
      </c>
      <c r="F135" t="s">
        <v>633</v>
      </c>
      <c r="G135">
        <v>1</v>
      </c>
      <c r="H135" t="s">
        <v>683</v>
      </c>
      <c r="I135" t="s">
        <v>691</v>
      </c>
      <c r="J135" t="s">
        <v>827</v>
      </c>
    </row>
    <row r="136" spans="1:10" x14ac:dyDescent="0.25">
      <c r="A136" t="s">
        <v>144</v>
      </c>
      <c r="B136" t="s">
        <v>420</v>
      </c>
      <c r="C136" t="s">
        <v>561</v>
      </c>
      <c r="D136" t="s">
        <v>566</v>
      </c>
      <c r="E136">
        <v>88034.67</v>
      </c>
      <c r="F136" s="1">
        <v>43669</v>
      </c>
      <c r="G136">
        <v>1</v>
      </c>
      <c r="H136" t="s">
        <v>683</v>
      </c>
      <c r="I136" t="s">
        <v>692</v>
      </c>
      <c r="J136" t="s">
        <v>828</v>
      </c>
    </row>
    <row r="137" spans="1:10" x14ac:dyDescent="0.25">
      <c r="A137" t="s">
        <v>145</v>
      </c>
      <c r="B137" t="s">
        <v>421</v>
      </c>
      <c r="C137" t="s">
        <v>560</v>
      </c>
      <c r="D137" t="s">
        <v>565</v>
      </c>
      <c r="E137">
        <v>44447.26</v>
      </c>
      <c r="F137" s="1">
        <v>43846</v>
      </c>
      <c r="G137">
        <v>0.4</v>
      </c>
      <c r="H137" t="s">
        <v>683</v>
      </c>
      <c r="I137" t="s">
        <v>693</v>
      </c>
      <c r="J137" t="s">
        <v>829</v>
      </c>
    </row>
    <row r="138" spans="1:10" x14ac:dyDescent="0.25">
      <c r="A138" t="s">
        <v>146</v>
      </c>
      <c r="B138" t="s">
        <v>422</v>
      </c>
      <c r="C138" t="s">
        <v>561</v>
      </c>
      <c r="D138" t="s">
        <v>566</v>
      </c>
      <c r="E138">
        <v>40445.29</v>
      </c>
      <c r="F138" s="1">
        <v>44393</v>
      </c>
      <c r="G138">
        <v>1</v>
      </c>
      <c r="H138" t="s">
        <v>683</v>
      </c>
      <c r="I138" t="s">
        <v>688</v>
      </c>
      <c r="J138" t="s">
        <v>830</v>
      </c>
    </row>
    <row r="139" spans="1:10" x14ac:dyDescent="0.25">
      <c r="A139" t="s">
        <v>147</v>
      </c>
      <c r="B139" t="s">
        <v>423</v>
      </c>
      <c r="C139" t="s">
        <v>561</v>
      </c>
      <c r="D139" t="s">
        <v>564</v>
      </c>
      <c r="E139">
        <v>92336.08</v>
      </c>
      <c r="F139" s="1">
        <v>44431</v>
      </c>
      <c r="G139">
        <v>1</v>
      </c>
      <c r="H139" t="s">
        <v>683</v>
      </c>
      <c r="I139" t="s">
        <v>691</v>
      </c>
      <c r="J139" t="s">
        <v>831</v>
      </c>
    </row>
    <row r="140" spans="1:10" x14ac:dyDescent="0.25">
      <c r="A140" t="s">
        <v>148</v>
      </c>
      <c r="B140" t="s">
        <v>424</v>
      </c>
      <c r="C140" t="s">
        <v>561</v>
      </c>
      <c r="D140" t="s">
        <v>567</v>
      </c>
      <c r="E140">
        <v>68008.55</v>
      </c>
      <c r="F140" s="1">
        <v>44062</v>
      </c>
      <c r="G140">
        <v>1</v>
      </c>
      <c r="H140" t="s">
        <v>683</v>
      </c>
      <c r="I140" t="s">
        <v>692</v>
      </c>
      <c r="J140" t="s">
        <v>832</v>
      </c>
    </row>
    <row r="141" spans="1:10" x14ac:dyDescent="0.25">
      <c r="A141" t="s">
        <v>149</v>
      </c>
      <c r="B141" t="s">
        <v>425</v>
      </c>
      <c r="C141" t="s">
        <v>561</v>
      </c>
      <c r="D141" t="s">
        <v>562</v>
      </c>
      <c r="E141">
        <v>74924.649999999994</v>
      </c>
      <c r="F141" t="s">
        <v>634</v>
      </c>
      <c r="G141">
        <v>1</v>
      </c>
      <c r="H141" t="s">
        <v>683</v>
      </c>
      <c r="I141" t="s">
        <v>686</v>
      </c>
      <c r="J141" t="s">
        <v>833</v>
      </c>
    </row>
    <row r="142" spans="1:10" x14ac:dyDescent="0.25">
      <c r="A142" t="s">
        <v>150</v>
      </c>
      <c r="B142" t="s">
        <v>426</v>
      </c>
      <c r="C142" t="s">
        <v>560</v>
      </c>
      <c r="D142" t="s">
        <v>563</v>
      </c>
      <c r="F142" t="s">
        <v>598</v>
      </c>
      <c r="G142">
        <v>0.2</v>
      </c>
      <c r="H142" t="s">
        <v>683</v>
      </c>
      <c r="I142" t="s">
        <v>686</v>
      </c>
      <c r="J142" t="s">
        <v>834</v>
      </c>
    </row>
    <row r="143" spans="1:10" x14ac:dyDescent="0.25">
      <c r="A143" t="s">
        <v>151</v>
      </c>
      <c r="B143" t="s">
        <v>427</v>
      </c>
      <c r="C143" t="s">
        <v>560</v>
      </c>
      <c r="D143" t="s">
        <v>569</v>
      </c>
      <c r="E143">
        <v>88689.09</v>
      </c>
      <c r="F143" t="s">
        <v>635</v>
      </c>
      <c r="G143">
        <v>1</v>
      </c>
      <c r="H143" t="s">
        <v>683</v>
      </c>
      <c r="I143" t="s">
        <v>689</v>
      </c>
      <c r="J143" t="s">
        <v>835</v>
      </c>
    </row>
    <row r="144" spans="1:10" x14ac:dyDescent="0.25">
      <c r="A144" t="s">
        <v>152</v>
      </c>
      <c r="B144" t="s">
        <v>428</v>
      </c>
      <c r="C144" t="s">
        <v>560</v>
      </c>
      <c r="D144" t="s">
        <v>564</v>
      </c>
      <c r="E144">
        <v>96555.53</v>
      </c>
      <c r="F144" s="1">
        <v>43489</v>
      </c>
      <c r="G144">
        <v>0.2</v>
      </c>
      <c r="H144" t="s">
        <v>685</v>
      </c>
      <c r="I144" t="s">
        <v>686</v>
      </c>
      <c r="J144" t="s">
        <v>836</v>
      </c>
    </row>
    <row r="145" spans="1:10" x14ac:dyDescent="0.25">
      <c r="A145" t="s">
        <v>153</v>
      </c>
      <c r="B145" t="s">
        <v>429</v>
      </c>
      <c r="C145" t="s">
        <v>560</v>
      </c>
      <c r="D145" t="s">
        <v>566</v>
      </c>
      <c r="E145">
        <v>71924.850000000006</v>
      </c>
      <c r="F145" s="1">
        <v>43822</v>
      </c>
      <c r="G145">
        <v>1</v>
      </c>
      <c r="H145" t="s">
        <v>683</v>
      </c>
      <c r="I145" t="s">
        <v>690</v>
      </c>
      <c r="J145" t="s">
        <v>837</v>
      </c>
    </row>
    <row r="146" spans="1:10" x14ac:dyDescent="0.25">
      <c r="A146" t="s">
        <v>154</v>
      </c>
      <c r="B146" t="s">
        <v>430</v>
      </c>
      <c r="C146" t="s">
        <v>561</v>
      </c>
      <c r="D146" t="s">
        <v>565</v>
      </c>
      <c r="E146">
        <v>31241.24</v>
      </c>
      <c r="F146" s="1">
        <v>43725</v>
      </c>
      <c r="G146">
        <v>1</v>
      </c>
      <c r="H146" t="s">
        <v>683</v>
      </c>
      <c r="I146" t="s">
        <v>691</v>
      </c>
      <c r="J146" t="s">
        <v>838</v>
      </c>
    </row>
    <row r="147" spans="1:10" x14ac:dyDescent="0.25">
      <c r="A147" t="s">
        <v>155</v>
      </c>
      <c r="B147" t="s">
        <v>431</v>
      </c>
      <c r="C147" t="s">
        <v>561</v>
      </c>
      <c r="D147" t="s">
        <v>563</v>
      </c>
      <c r="E147">
        <v>110042.37</v>
      </c>
      <c r="F147" s="1">
        <v>43914</v>
      </c>
      <c r="G147">
        <v>1</v>
      </c>
      <c r="H147" t="s">
        <v>683</v>
      </c>
      <c r="I147" t="s">
        <v>693</v>
      </c>
      <c r="J147" t="s">
        <v>839</v>
      </c>
    </row>
    <row r="148" spans="1:10" x14ac:dyDescent="0.25">
      <c r="A148" t="s">
        <v>156</v>
      </c>
      <c r="B148" t="s">
        <v>432</v>
      </c>
      <c r="C148" t="s">
        <v>560</v>
      </c>
      <c r="D148" t="s">
        <v>562</v>
      </c>
      <c r="E148">
        <v>37902.35</v>
      </c>
      <c r="F148" t="s">
        <v>579</v>
      </c>
      <c r="G148">
        <v>1</v>
      </c>
      <c r="H148" t="s">
        <v>683</v>
      </c>
      <c r="I148" t="s">
        <v>691</v>
      </c>
      <c r="J148" t="s">
        <v>840</v>
      </c>
    </row>
    <row r="149" spans="1:10" x14ac:dyDescent="0.25">
      <c r="A149" t="s">
        <v>157</v>
      </c>
      <c r="B149" t="s">
        <v>433</v>
      </c>
      <c r="C149" t="s">
        <v>560</v>
      </c>
      <c r="D149" t="s">
        <v>566</v>
      </c>
      <c r="E149">
        <v>33031.26</v>
      </c>
      <c r="F149" t="s">
        <v>636</v>
      </c>
      <c r="G149">
        <v>0.4</v>
      </c>
      <c r="H149" t="s">
        <v>683</v>
      </c>
      <c r="I149" t="s">
        <v>686</v>
      </c>
      <c r="J149" t="s">
        <v>841</v>
      </c>
    </row>
    <row r="150" spans="1:10" x14ac:dyDescent="0.25">
      <c r="A150" t="s">
        <v>158</v>
      </c>
      <c r="B150" t="s">
        <v>434</v>
      </c>
      <c r="C150" t="s">
        <v>560</v>
      </c>
      <c r="D150" t="s">
        <v>564</v>
      </c>
      <c r="E150">
        <v>32496.880000000001</v>
      </c>
      <c r="F150" s="1">
        <v>43234</v>
      </c>
      <c r="G150">
        <v>1</v>
      </c>
      <c r="H150" t="s">
        <v>685</v>
      </c>
      <c r="I150" t="s">
        <v>687</v>
      </c>
      <c r="J150" t="s">
        <v>842</v>
      </c>
    </row>
    <row r="151" spans="1:10" x14ac:dyDescent="0.25">
      <c r="A151" t="s">
        <v>159</v>
      </c>
      <c r="B151" t="s">
        <v>435</v>
      </c>
      <c r="C151" t="s">
        <v>560</v>
      </c>
      <c r="D151" t="s">
        <v>565</v>
      </c>
      <c r="E151">
        <v>81897.789999999994</v>
      </c>
      <c r="F151" s="1">
        <v>43146</v>
      </c>
      <c r="G151">
        <v>1</v>
      </c>
      <c r="H151" t="s">
        <v>683</v>
      </c>
      <c r="I151" t="s">
        <v>690</v>
      </c>
      <c r="J151" t="s">
        <v>843</v>
      </c>
    </row>
    <row r="152" spans="1:10" x14ac:dyDescent="0.25">
      <c r="A152" t="s">
        <v>160</v>
      </c>
      <c r="B152" t="s">
        <v>436</v>
      </c>
      <c r="C152" t="s">
        <v>560</v>
      </c>
      <c r="D152" t="s">
        <v>562</v>
      </c>
      <c r="E152">
        <v>108872.77</v>
      </c>
      <c r="F152" s="1">
        <v>43521</v>
      </c>
      <c r="G152">
        <v>1</v>
      </c>
      <c r="H152" t="s">
        <v>683</v>
      </c>
      <c r="I152" t="s">
        <v>686</v>
      </c>
      <c r="J152" t="s">
        <v>844</v>
      </c>
    </row>
    <row r="153" spans="1:10" x14ac:dyDescent="0.25">
      <c r="A153" t="s">
        <v>161</v>
      </c>
      <c r="B153" t="s">
        <v>437</v>
      </c>
      <c r="C153" t="s">
        <v>560</v>
      </c>
      <c r="D153" t="s">
        <v>562</v>
      </c>
      <c r="E153">
        <v>89605.13</v>
      </c>
      <c r="F153" t="s">
        <v>637</v>
      </c>
      <c r="G153">
        <v>1</v>
      </c>
      <c r="H153" t="s">
        <v>683</v>
      </c>
      <c r="I153" t="s">
        <v>686</v>
      </c>
      <c r="J153" t="s">
        <v>845</v>
      </c>
    </row>
    <row r="154" spans="1:10" x14ac:dyDescent="0.25">
      <c r="A154" t="s">
        <v>162</v>
      </c>
      <c r="B154" t="s">
        <v>438</v>
      </c>
      <c r="C154" t="s">
        <v>561</v>
      </c>
      <c r="D154" t="s">
        <v>562</v>
      </c>
      <c r="E154">
        <v>63447.07</v>
      </c>
      <c r="F154" t="s">
        <v>638</v>
      </c>
      <c r="G154">
        <v>1</v>
      </c>
      <c r="H154" t="s">
        <v>685</v>
      </c>
      <c r="I154" t="s">
        <v>691</v>
      </c>
      <c r="J154" t="s">
        <v>846</v>
      </c>
    </row>
    <row r="155" spans="1:10" x14ac:dyDescent="0.25">
      <c r="A155" t="s">
        <v>163</v>
      </c>
      <c r="B155" t="s">
        <v>439</v>
      </c>
      <c r="C155" t="s">
        <v>561</v>
      </c>
      <c r="D155" t="s">
        <v>566</v>
      </c>
      <c r="E155">
        <v>106665.67</v>
      </c>
      <c r="F155" s="1">
        <v>43311</v>
      </c>
      <c r="G155">
        <v>1</v>
      </c>
      <c r="H155" t="s">
        <v>685</v>
      </c>
      <c r="I155" t="s">
        <v>693</v>
      </c>
      <c r="J155" t="s">
        <v>847</v>
      </c>
    </row>
    <row r="156" spans="1:10" x14ac:dyDescent="0.25">
      <c r="A156" t="s">
        <v>164</v>
      </c>
      <c r="B156" t="s">
        <v>440</v>
      </c>
      <c r="C156" t="s">
        <v>561</v>
      </c>
      <c r="D156" t="s">
        <v>564</v>
      </c>
      <c r="E156">
        <v>100424.23</v>
      </c>
      <c r="F156" s="1">
        <v>43801</v>
      </c>
      <c r="G156">
        <v>1</v>
      </c>
      <c r="H156" t="s">
        <v>683</v>
      </c>
      <c r="I156" t="s">
        <v>688</v>
      </c>
      <c r="J156" t="s">
        <v>848</v>
      </c>
    </row>
    <row r="157" spans="1:10" x14ac:dyDescent="0.25">
      <c r="A157" t="s">
        <v>165</v>
      </c>
      <c r="B157" t="s">
        <v>441</v>
      </c>
      <c r="C157" t="s">
        <v>560</v>
      </c>
      <c r="D157" t="s">
        <v>567</v>
      </c>
      <c r="E157">
        <v>47646.95</v>
      </c>
      <c r="F157" s="1">
        <v>43791</v>
      </c>
      <c r="G157">
        <v>0.3</v>
      </c>
      <c r="H157" t="s">
        <v>684</v>
      </c>
      <c r="I157" t="s">
        <v>690</v>
      </c>
      <c r="J157" t="s">
        <v>849</v>
      </c>
    </row>
    <row r="158" spans="1:10" x14ac:dyDescent="0.25">
      <c r="A158" t="s">
        <v>166</v>
      </c>
      <c r="B158" t="s">
        <v>442</v>
      </c>
      <c r="C158" t="s">
        <v>561</v>
      </c>
      <c r="D158" t="s">
        <v>563</v>
      </c>
      <c r="E158">
        <v>28481.16</v>
      </c>
      <c r="F158" s="1">
        <v>43916</v>
      </c>
      <c r="G158">
        <v>1</v>
      </c>
      <c r="H158" t="s">
        <v>683</v>
      </c>
      <c r="I158" t="s">
        <v>687</v>
      </c>
      <c r="J158" t="s">
        <v>850</v>
      </c>
    </row>
    <row r="159" spans="1:10" x14ac:dyDescent="0.25">
      <c r="A159" t="s">
        <v>167</v>
      </c>
      <c r="B159" t="s">
        <v>443</v>
      </c>
      <c r="C159" t="s">
        <v>560</v>
      </c>
      <c r="D159" t="s">
        <v>569</v>
      </c>
      <c r="F159" s="1">
        <v>43504</v>
      </c>
      <c r="G159">
        <v>1</v>
      </c>
      <c r="H159" t="s">
        <v>683</v>
      </c>
      <c r="I159" t="s">
        <v>693</v>
      </c>
      <c r="J159" t="s">
        <v>851</v>
      </c>
    </row>
    <row r="160" spans="1:10" x14ac:dyDescent="0.25">
      <c r="A160" t="s">
        <v>168</v>
      </c>
      <c r="B160" t="s">
        <v>444</v>
      </c>
      <c r="C160" t="s">
        <v>560</v>
      </c>
      <c r="D160" t="s">
        <v>562</v>
      </c>
      <c r="E160">
        <v>39535.49</v>
      </c>
      <c r="F160" s="1">
        <v>43397</v>
      </c>
      <c r="G160">
        <v>0.3</v>
      </c>
      <c r="H160" t="s">
        <v>683</v>
      </c>
      <c r="I160" t="s">
        <v>691</v>
      </c>
      <c r="J160" t="s">
        <v>852</v>
      </c>
    </row>
    <row r="161" spans="1:10" x14ac:dyDescent="0.25">
      <c r="A161" t="s">
        <v>169</v>
      </c>
      <c r="B161" t="s">
        <v>445</v>
      </c>
      <c r="C161" t="s">
        <v>561</v>
      </c>
      <c r="D161" t="s">
        <v>562</v>
      </c>
      <c r="E161">
        <v>95017.1</v>
      </c>
      <c r="F161" s="1">
        <v>43283</v>
      </c>
      <c r="G161">
        <v>1</v>
      </c>
      <c r="H161" t="s">
        <v>684</v>
      </c>
      <c r="I161" t="s">
        <v>687</v>
      </c>
      <c r="J161" t="s">
        <v>853</v>
      </c>
    </row>
    <row r="162" spans="1:10" x14ac:dyDescent="0.25">
      <c r="A162" t="s">
        <v>170</v>
      </c>
      <c r="B162" t="s">
        <v>446</v>
      </c>
      <c r="C162" t="s">
        <v>561</v>
      </c>
      <c r="D162" t="s">
        <v>567</v>
      </c>
      <c r="E162">
        <v>69764.100000000006</v>
      </c>
      <c r="F162" s="1">
        <v>44195</v>
      </c>
      <c r="G162">
        <v>1</v>
      </c>
      <c r="H162" t="s">
        <v>684</v>
      </c>
      <c r="I162" t="s">
        <v>686</v>
      </c>
      <c r="J162" t="s">
        <v>854</v>
      </c>
    </row>
    <row r="163" spans="1:10" x14ac:dyDescent="0.25">
      <c r="A163" t="s">
        <v>171</v>
      </c>
      <c r="B163" t="s">
        <v>447</v>
      </c>
      <c r="C163" t="s">
        <v>560</v>
      </c>
      <c r="D163" t="s">
        <v>562</v>
      </c>
      <c r="E163">
        <v>84598.88</v>
      </c>
      <c r="F163" t="s">
        <v>639</v>
      </c>
      <c r="G163">
        <v>1</v>
      </c>
      <c r="H163" t="s">
        <v>684</v>
      </c>
      <c r="I163" t="s">
        <v>688</v>
      </c>
      <c r="J163" t="s">
        <v>855</v>
      </c>
    </row>
    <row r="164" spans="1:10" x14ac:dyDescent="0.25">
      <c r="A164" t="s">
        <v>172</v>
      </c>
      <c r="B164" t="s">
        <v>448</v>
      </c>
      <c r="C164" t="s">
        <v>561</v>
      </c>
      <c r="D164" t="s">
        <v>566</v>
      </c>
      <c r="E164">
        <v>36536.26</v>
      </c>
      <c r="F164" t="s">
        <v>640</v>
      </c>
      <c r="G164">
        <v>1</v>
      </c>
      <c r="H164" t="s">
        <v>685</v>
      </c>
      <c r="I164" t="s">
        <v>693</v>
      </c>
      <c r="J164" t="s">
        <v>856</v>
      </c>
    </row>
    <row r="165" spans="1:10" x14ac:dyDescent="0.25">
      <c r="A165" t="s">
        <v>173</v>
      </c>
      <c r="B165" t="s">
        <v>449</v>
      </c>
      <c r="C165" t="s">
        <v>560</v>
      </c>
      <c r="D165" t="s">
        <v>566</v>
      </c>
      <c r="E165">
        <v>61688.77</v>
      </c>
      <c r="F165" t="s">
        <v>641</v>
      </c>
      <c r="G165">
        <v>0.9</v>
      </c>
      <c r="H165" t="s">
        <v>683</v>
      </c>
      <c r="I165" t="s">
        <v>691</v>
      </c>
      <c r="J165" t="s">
        <v>857</v>
      </c>
    </row>
    <row r="166" spans="1:10" x14ac:dyDescent="0.25">
      <c r="A166" t="s">
        <v>174</v>
      </c>
      <c r="B166" t="s">
        <v>450</v>
      </c>
      <c r="C166" t="s">
        <v>560</v>
      </c>
      <c r="D166" t="s">
        <v>566</v>
      </c>
      <c r="F166" t="s">
        <v>642</v>
      </c>
      <c r="G166">
        <v>1</v>
      </c>
      <c r="H166" t="s">
        <v>683</v>
      </c>
      <c r="I166" t="s">
        <v>693</v>
      </c>
      <c r="J166" t="s">
        <v>858</v>
      </c>
    </row>
    <row r="167" spans="1:10" x14ac:dyDescent="0.25">
      <c r="A167" t="s">
        <v>175</v>
      </c>
      <c r="B167" t="s">
        <v>451</v>
      </c>
      <c r="C167" t="s">
        <v>560</v>
      </c>
      <c r="D167" t="s">
        <v>562</v>
      </c>
      <c r="E167">
        <v>88425.08</v>
      </c>
      <c r="F167" t="s">
        <v>643</v>
      </c>
      <c r="G167">
        <v>1</v>
      </c>
      <c r="H167" t="s">
        <v>683</v>
      </c>
      <c r="I167" t="s">
        <v>692</v>
      </c>
      <c r="J167" t="s">
        <v>859</v>
      </c>
    </row>
    <row r="168" spans="1:10" x14ac:dyDescent="0.25">
      <c r="A168" t="s">
        <v>176</v>
      </c>
      <c r="B168" t="s">
        <v>452</v>
      </c>
      <c r="C168" t="s">
        <v>560</v>
      </c>
      <c r="D168" t="s">
        <v>565</v>
      </c>
      <c r="E168">
        <v>38438.239999999998</v>
      </c>
      <c r="F168" t="s">
        <v>596</v>
      </c>
      <c r="G168">
        <v>1</v>
      </c>
      <c r="H168" t="s">
        <v>683</v>
      </c>
      <c r="I168" t="s">
        <v>690</v>
      </c>
      <c r="J168" t="s">
        <v>860</v>
      </c>
    </row>
    <row r="169" spans="1:10" x14ac:dyDescent="0.25">
      <c r="A169" t="s">
        <v>177</v>
      </c>
      <c r="B169" t="s">
        <v>453</v>
      </c>
      <c r="C169" t="s">
        <v>560</v>
      </c>
      <c r="D169" t="s">
        <v>567</v>
      </c>
      <c r="E169">
        <v>96753.78</v>
      </c>
      <c r="F169" s="1">
        <v>44494</v>
      </c>
      <c r="G169">
        <v>1</v>
      </c>
      <c r="H169" t="s">
        <v>683</v>
      </c>
      <c r="I169" t="s">
        <v>691</v>
      </c>
      <c r="J169" t="s">
        <v>861</v>
      </c>
    </row>
    <row r="170" spans="1:10" x14ac:dyDescent="0.25">
      <c r="A170" t="s">
        <v>178</v>
      </c>
      <c r="B170" t="s">
        <v>454</v>
      </c>
      <c r="C170" t="s">
        <v>560</v>
      </c>
      <c r="D170" t="s">
        <v>569</v>
      </c>
      <c r="E170">
        <v>112778.28</v>
      </c>
      <c r="F170" s="1">
        <v>43250</v>
      </c>
      <c r="G170">
        <v>1</v>
      </c>
      <c r="H170" t="s">
        <v>684</v>
      </c>
      <c r="I170" t="s">
        <v>686</v>
      </c>
      <c r="J170" t="s">
        <v>862</v>
      </c>
    </row>
    <row r="171" spans="1:10" x14ac:dyDescent="0.25">
      <c r="A171" t="s">
        <v>179</v>
      </c>
      <c r="B171" t="s">
        <v>455</v>
      </c>
      <c r="C171" t="s">
        <v>560</v>
      </c>
      <c r="D171" t="s">
        <v>562</v>
      </c>
      <c r="E171">
        <v>28974.03</v>
      </c>
      <c r="F171" t="s">
        <v>644</v>
      </c>
      <c r="G171">
        <v>1</v>
      </c>
      <c r="H171" t="s">
        <v>683</v>
      </c>
      <c r="I171" t="s">
        <v>691</v>
      </c>
      <c r="J171" t="s">
        <v>863</v>
      </c>
    </row>
    <row r="172" spans="1:10" x14ac:dyDescent="0.25">
      <c r="A172" t="s">
        <v>180</v>
      </c>
      <c r="B172" t="s">
        <v>456</v>
      </c>
      <c r="C172" t="s">
        <v>560</v>
      </c>
      <c r="D172" t="s">
        <v>568</v>
      </c>
      <c r="E172">
        <v>86233.83</v>
      </c>
      <c r="F172" t="s">
        <v>645</v>
      </c>
      <c r="G172">
        <v>1</v>
      </c>
      <c r="H172" t="s">
        <v>684</v>
      </c>
      <c r="I172" t="s">
        <v>691</v>
      </c>
      <c r="J172" t="s">
        <v>864</v>
      </c>
    </row>
    <row r="173" spans="1:10" x14ac:dyDescent="0.25">
      <c r="A173" t="s">
        <v>181</v>
      </c>
      <c r="B173" t="s">
        <v>457</v>
      </c>
      <c r="C173" t="s">
        <v>560</v>
      </c>
      <c r="D173" t="s">
        <v>566</v>
      </c>
      <c r="E173">
        <v>66865.490000000005</v>
      </c>
      <c r="F173" t="s">
        <v>603</v>
      </c>
      <c r="G173">
        <v>1</v>
      </c>
      <c r="H173" t="s">
        <v>683</v>
      </c>
      <c r="I173" t="s">
        <v>690</v>
      </c>
      <c r="J173" t="s">
        <v>865</v>
      </c>
    </row>
    <row r="174" spans="1:10" x14ac:dyDescent="0.25">
      <c r="A174" t="s">
        <v>182</v>
      </c>
      <c r="B174" t="s">
        <v>458</v>
      </c>
      <c r="C174" t="s">
        <v>561</v>
      </c>
      <c r="D174" t="s">
        <v>563</v>
      </c>
      <c r="E174">
        <v>119022.49</v>
      </c>
      <c r="F174" s="1">
        <v>44431</v>
      </c>
      <c r="G174">
        <v>1</v>
      </c>
      <c r="H174" t="s">
        <v>683</v>
      </c>
      <c r="I174" t="s">
        <v>686</v>
      </c>
      <c r="J174" t="s">
        <v>866</v>
      </c>
    </row>
    <row r="175" spans="1:10" x14ac:dyDescent="0.25">
      <c r="A175" t="s">
        <v>183</v>
      </c>
      <c r="B175" t="s">
        <v>459</v>
      </c>
      <c r="C175" t="s">
        <v>561</v>
      </c>
      <c r="D175" t="s">
        <v>566</v>
      </c>
      <c r="E175">
        <v>114177.23</v>
      </c>
      <c r="F175" t="s">
        <v>646</v>
      </c>
      <c r="G175">
        <v>1</v>
      </c>
      <c r="H175" t="s">
        <v>683</v>
      </c>
      <c r="I175" t="s">
        <v>688</v>
      </c>
      <c r="J175" t="s">
        <v>867</v>
      </c>
    </row>
    <row r="176" spans="1:10" x14ac:dyDescent="0.25">
      <c r="A176" t="s">
        <v>184</v>
      </c>
      <c r="B176" t="s">
        <v>460</v>
      </c>
      <c r="C176" t="s">
        <v>560</v>
      </c>
      <c r="D176" t="s">
        <v>567</v>
      </c>
      <c r="E176">
        <v>100731.95</v>
      </c>
      <c r="F176" t="s">
        <v>647</v>
      </c>
      <c r="G176">
        <v>1</v>
      </c>
      <c r="H176" t="s">
        <v>683</v>
      </c>
      <c r="I176" t="s">
        <v>692</v>
      </c>
      <c r="J176" t="s">
        <v>868</v>
      </c>
    </row>
    <row r="177" spans="1:10" x14ac:dyDescent="0.25">
      <c r="A177" t="s">
        <v>185</v>
      </c>
      <c r="B177" t="s">
        <v>461</v>
      </c>
      <c r="C177" t="s">
        <v>561</v>
      </c>
      <c r="D177" t="s">
        <v>566</v>
      </c>
      <c r="E177">
        <v>86010.54</v>
      </c>
      <c r="F177" s="1">
        <v>43164</v>
      </c>
      <c r="G177">
        <v>1</v>
      </c>
      <c r="H177" t="s">
        <v>683</v>
      </c>
      <c r="I177" t="s">
        <v>692</v>
      </c>
      <c r="J177" t="s">
        <v>869</v>
      </c>
    </row>
    <row r="178" spans="1:10" x14ac:dyDescent="0.25">
      <c r="A178" t="s">
        <v>186</v>
      </c>
      <c r="B178" t="s">
        <v>462</v>
      </c>
      <c r="C178" t="s">
        <v>560</v>
      </c>
      <c r="D178" t="s">
        <v>567</v>
      </c>
      <c r="E178">
        <v>52270.22</v>
      </c>
      <c r="F178" s="1">
        <v>43521</v>
      </c>
      <c r="G178">
        <v>0.3</v>
      </c>
      <c r="H178" t="s">
        <v>683</v>
      </c>
      <c r="I178" t="s">
        <v>689</v>
      </c>
      <c r="J178" t="s">
        <v>870</v>
      </c>
    </row>
    <row r="179" spans="1:10" x14ac:dyDescent="0.25">
      <c r="A179" t="s">
        <v>187</v>
      </c>
      <c r="B179" t="s">
        <v>463</v>
      </c>
      <c r="C179" t="s">
        <v>560</v>
      </c>
      <c r="D179" t="s">
        <v>568</v>
      </c>
      <c r="E179">
        <v>61624.77</v>
      </c>
      <c r="F179" s="1">
        <v>43430</v>
      </c>
      <c r="G179">
        <v>0.3</v>
      </c>
      <c r="H179" t="s">
        <v>684</v>
      </c>
      <c r="I179" t="s">
        <v>691</v>
      </c>
      <c r="J179" t="s">
        <v>871</v>
      </c>
    </row>
    <row r="180" spans="1:10" x14ac:dyDescent="0.25">
      <c r="A180" t="s">
        <v>188</v>
      </c>
      <c r="B180" t="s">
        <v>464</v>
      </c>
      <c r="C180" t="s">
        <v>561</v>
      </c>
      <c r="D180" t="s">
        <v>566</v>
      </c>
      <c r="E180">
        <v>104903.79</v>
      </c>
      <c r="F180" t="s">
        <v>648</v>
      </c>
      <c r="G180">
        <v>1</v>
      </c>
      <c r="H180" t="s">
        <v>683</v>
      </c>
      <c r="I180" t="s">
        <v>693</v>
      </c>
      <c r="J180" t="s">
        <v>872</v>
      </c>
    </row>
    <row r="181" spans="1:10" x14ac:dyDescent="0.25">
      <c r="A181" t="s">
        <v>189</v>
      </c>
      <c r="B181" t="s">
        <v>465</v>
      </c>
      <c r="C181" t="s">
        <v>561</v>
      </c>
      <c r="D181" t="s">
        <v>567</v>
      </c>
      <c r="E181">
        <v>69057.320000000007</v>
      </c>
      <c r="F181" s="1">
        <v>43390</v>
      </c>
      <c r="G181">
        <v>1</v>
      </c>
      <c r="H181" t="s">
        <v>683</v>
      </c>
      <c r="I181" t="s">
        <v>691</v>
      </c>
      <c r="J181" t="s">
        <v>873</v>
      </c>
    </row>
    <row r="182" spans="1:10" x14ac:dyDescent="0.25">
      <c r="A182" t="s">
        <v>190</v>
      </c>
      <c r="B182" t="s">
        <v>466</v>
      </c>
      <c r="C182" t="s">
        <v>561</v>
      </c>
      <c r="D182" t="s">
        <v>562</v>
      </c>
      <c r="E182">
        <v>59258.19</v>
      </c>
      <c r="F182" s="1">
        <v>43452</v>
      </c>
      <c r="G182">
        <v>0.8</v>
      </c>
      <c r="H182" t="s">
        <v>683</v>
      </c>
      <c r="I182" t="s">
        <v>690</v>
      </c>
      <c r="J182" t="s">
        <v>874</v>
      </c>
    </row>
    <row r="183" spans="1:10" x14ac:dyDescent="0.25">
      <c r="A183" t="s">
        <v>191</v>
      </c>
      <c r="B183" t="s">
        <v>467</v>
      </c>
      <c r="C183" t="s">
        <v>560</v>
      </c>
      <c r="D183" t="s">
        <v>568</v>
      </c>
      <c r="E183">
        <v>28160.79</v>
      </c>
      <c r="F183" t="s">
        <v>649</v>
      </c>
      <c r="G183">
        <v>1</v>
      </c>
      <c r="H183" t="s">
        <v>685</v>
      </c>
      <c r="I183" t="s">
        <v>692</v>
      </c>
      <c r="J183" t="s">
        <v>875</v>
      </c>
    </row>
    <row r="184" spans="1:10" x14ac:dyDescent="0.25">
      <c r="A184" t="s">
        <v>192</v>
      </c>
      <c r="B184" t="s">
        <v>468</v>
      </c>
      <c r="C184" t="s">
        <v>561</v>
      </c>
      <c r="D184" t="s">
        <v>564</v>
      </c>
      <c r="E184">
        <v>109143.17</v>
      </c>
      <c r="F184" t="s">
        <v>650</v>
      </c>
      <c r="G184">
        <v>1</v>
      </c>
      <c r="H184" t="s">
        <v>683</v>
      </c>
      <c r="I184" t="s">
        <v>686</v>
      </c>
      <c r="J184" t="s">
        <v>876</v>
      </c>
    </row>
    <row r="185" spans="1:10" x14ac:dyDescent="0.25">
      <c r="A185" t="s">
        <v>193</v>
      </c>
      <c r="B185" t="s">
        <v>469</v>
      </c>
      <c r="C185" t="s">
        <v>561</v>
      </c>
      <c r="D185" t="s">
        <v>568</v>
      </c>
      <c r="E185">
        <v>70755.5</v>
      </c>
      <c r="F185" t="s">
        <v>651</v>
      </c>
      <c r="G185">
        <v>0.8</v>
      </c>
      <c r="H185" t="s">
        <v>685</v>
      </c>
      <c r="I185" t="s">
        <v>693</v>
      </c>
      <c r="J185" t="s">
        <v>877</v>
      </c>
    </row>
    <row r="186" spans="1:10" x14ac:dyDescent="0.25">
      <c r="A186" t="s">
        <v>194</v>
      </c>
      <c r="B186" t="s">
        <v>470</v>
      </c>
      <c r="C186" t="s">
        <v>561</v>
      </c>
      <c r="D186" t="s">
        <v>564</v>
      </c>
      <c r="E186">
        <v>73360.38</v>
      </c>
      <c r="F186" s="1">
        <v>43972</v>
      </c>
      <c r="G186">
        <v>1</v>
      </c>
      <c r="H186" t="s">
        <v>685</v>
      </c>
      <c r="I186" t="s">
        <v>690</v>
      </c>
      <c r="J186" t="s">
        <v>878</v>
      </c>
    </row>
    <row r="187" spans="1:10" x14ac:dyDescent="0.25">
      <c r="A187" t="s">
        <v>195</v>
      </c>
      <c r="B187" t="s">
        <v>471</v>
      </c>
      <c r="C187" t="s">
        <v>560</v>
      </c>
      <c r="D187" t="s">
        <v>562</v>
      </c>
      <c r="E187">
        <v>76303.820000000007</v>
      </c>
      <c r="F187" s="1">
        <v>43458</v>
      </c>
      <c r="G187">
        <v>1</v>
      </c>
      <c r="H187" t="s">
        <v>684</v>
      </c>
      <c r="I187" t="s">
        <v>693</v>
      </c>
      <c r="J187" t="s">
        <v>879</v>
      </c>
    </row>
    <row r="188" spans="1:10" x14ac:dyDescent="0.25">
      <c r="A188" t="s">
        <v>196</v>
      </c>
      <c r="B188" t="s">
        <v>472</v>
      </c>
      <c r="C188" t="s">
        <v>561</v>
      </c>
      <c r="D188" t="s">
        <v>563</v>
      </c>
      <c r="E188">
        <v>58861.19</v>
      </c>
      <c r="F188" t="s">
        <v>652</v>
      </c>
      <c r="G188">
        <v>1</v>
      </c>
      <c r="H188" t="s">
        <v>683</v>
      </c>
      <c r="I188" t="s">
        <v>692</v>
      </c>
      <c r="J188" t="s">
        <v>880</v>
      </c>
    </row>
    <row r="189" spans="1:10" x14ac:dyDescent="0.25">
      <c r="A189" t="s">
        <v>197</v>
      </c>
      <c r="B189" t="s">
        <v>473</v>
      </c>
      <c r="C189" t="s">
        <v>561</v>
      </c>
      <c r="D189" t="s">
        <v>565</v>
      </c>
      <c r="E189">
        <v>58744.17</v>
      </c>
      <c r="F189" t="s">
        <v>577</v>
      </c>
      <c r="G189">
        <v>1</v>
      </c>
      <c r="H189" t="s">
        <v>685</v>
      </c>
      <c r="I189" t="s">
        <v>691</v>
      </c>
      <c r="J189" t="s">
        <v>881</v>
      </c>
    </row>
    <row r="190" spans="1:10" x14ac:dyDescent="0.25">
      <c r="A190" t="s">
        <v>198</v>
      </c>
      <c r="B190" t="s">
        <v>474</v>
      </c>
      <c r="C190" t="s">
        <v>561</v>
      </c>
      <c r="D190" t="s">
        <v>565</v>
      </c>
      <c r="E190">
        <v>73488.679999999993</v>
      </c>
      <c r="F190" t="s">
        <v>653</v>
      </c>
      <c r="G190">
        <v>1</v>
      </c>
      <c r="H190" t="s">
        <v>684</v>
      </c>
      <c r="I190" t="s">
        <v>686</v>
      </c>
      <c r="J190" t="s">
        <v>882</v>
      </c>
    </row>
    <row r="191" spans="1:10" x14ac:dyDescent="0.25">
      <c r="A191" t="s">
        <v>199</v>
      </c>
      <c r="B191" t="s">
        <v>475</v>
      </c>
      <c r="C191" t="s">
        <v>560</v>
      </c>
      <c r="D191" t="s">
        <v>568</v>
      </c>
      <c r="E191">
        <v>92704.48</v>
      </c>
      <c r="F191" t="s">
        <v>654</v>
      </c>
      <c r="G191">
        <v>1</v>
      </c>
      <c r="H191" t="s">
        <v>684</v>
      </c>
      <c r="I191" t="s">
        <v>692</v>
      </c>
      <c r="J191" t="s">
        <v>883</v>
      </c>
    </row>
    <row r="192" spans="1:10" x14ac:dyDescent="0.25">
      <c r="A192" t="s">
        <v>200</v>
      </c>
      <c r="B192" t="s">
        <v>476</v>
      </c>
      <c r="C192" t="s">
        <v>561</v>
      </c>
      <c r="D192" t="s">
        <v>562</v>
      </c>
      <c r="E192">
        <v>78443.78</v>
      </c>
      <c r="F192" t="s">
        <v>655</v>
      </c>
      <c r="G192">
        <v>1</v>
      </c>
      <c r="H192" t="s">
        <v>684</v>
      </c>
      <c r="I192" t="s">
        <v>686</v>
      </c>
      <c r="J192" t="s">
        <v>884</v>
      </c>
    </row>
    <row r="193" spans="1:10" x14ac:dyDescent="0.25">
      <c r="A193" t="s">
        <v>201</v>
      </c>
      <c r="B193" t="s">
        <v>477</v>
      </c>
      <c r="C193" t="s">
        <v>560</v>
      </c>
      <c r="D193" t="s">
        <v>567</v>
      </c>
      <c r="E193">
        <v>97105.19</v>
      </c>
      <c r="F193" s="1">
        <v>44425</v>
      </c>
      <c r="G193">
        <v>1</v>
      </c>
      <c r="H193" t="s">
        <v>683</v>
      </c>
      <c r="I193" t="s">
        <v>686</v>
      </c>
      <c r="J193" t="s">
        <v>885</v>
      </c>
    </row>
    <row r="194" spans="1:10" x14ac:dyDescent="0.25">
      <c r="A194" t="s">
        <v>202</v>
      </c>
      <c r="B194" t="s">
        <v>478</v>
      </c>
      <c r="C194" t="s">
        <v>561</v>
      </c>
      <c r="D194" t="s">
        <v>563</v>
      </c>
      <c r="E194">
        <v>109163.39</v>
      </c>
      <c r="F194" s="1">
        <v>44019</v>
      </c>
      <c r="G194">
        <v>0.8</v>
      </c>
      <c r="H194" t="s">
        <v>683</v>
      </c>
      <c r="I194" t="s">
        <v>688</v>
      </c>
      <c r="J194" t="s">
        <v>886</v>
      </c>
    </row>
    <row r="195" spans="1:10" x14ac:dyDescent="0.25">
      <c r="A195" t="s">
        <v>203</v>
      </c>
      <c r="B195" t="s">
        <v>479</v>
      </c>
      <c r="C195" t="s">
        <v>561</v>
      </c>
      <c r="D195" t="s">
        <v>567</v>
      </c>
      <c r="E195">
        <v>31816.57</v>
      </c>
      <c r="F195" t="s">
        <v>656</v>
      </c>
      <c r="G195">
        <v>0.3</v>
      </c>
      <c r="H195" t="s">
        <v>684</v>
      </c>
      <c r="I195" t="s">
        <v>687</v>
      </c>
      <c r="J195" t="s">
        <v>887</v>
      </c>
    </row>
    <row r="196" spans="1:10" x14ac:dyDescent="0.25">
      <c r="A196" t="s">
        <v>204</v>
      </c>
      <c r="B196" t="s">
        <v>480</v>
      </c>
      <c r="C196" t="s">
        <v>560</v>
      </c>
      <c r="D196" t="s">
        <v>564</v>
      </c>
      <c r="E196">
        <v>118442.54</v>
      </c>
      <c r="F196" s="1">
        <v>44193</v>
      </c>
      <c r="G196">
        <v>1</v>
      </c>
      <c r="H196" t="s">
        <v>683</v>
      </c>
      <c r="I196" t="s">
        <v>693</v>
      </c>
      <c r="J196" t="s">
        <v>888</v>
      </c>
    </row>
    <row r="197" spans="1:10" x14ac:dyDescent="0.25">
      <c r="A197" t="s">
        <v>205</v>
      </c>
      <c r="B197" t="s">
        <v>481</v>
      </c>
      <c r="C197" t="s">
        <v>561</v>
      </c>
      <c r="D197" t="s">
        <v>565</v>
      </c>
      <c r="E197">
        <v>84745.93</v>
      </c>
      <c r="F197" t="s">
        <v>657</v>
      </c>
      <c r="G197">
        <v>1</v>
      </c>
      <c r="H197" t="s">
        <v>683</v>
      </c>
      <c r="I197" t="s">
        <v>688</v>
      </c>
      <c r="J197" t="s">
        <v>889</v>
      </c>
    </row>
    <row r="198" spans="1:10" x14ac:dyDescent="0.25">
      <c r="A198" t="s">
        <v>206</v>
      </c>
      <c r="B198" t="s">
        <v>482</v>
      </c>
      <c r="C198" t="s">
        <v>560</v>
      </c>
      <c r="D198" t="s">
        <v>562</v>
      </c>
      <c r="E198">
        <v>69163.39</v>
      </c>
      <c r="F198" s="1">
        <v>43397</v>
      </c>
      <c r="G198">
        <v>1</v>
      </c>
      <c r="H198" t="s">
        <v>683</v>
      </c>
      <c r="I198" t="s">
        <v>688</v>
      </c>
      <c r="J198" t="s">
        <v>890</v>
      </c>
    </row>
    <row r="199" spans="1:10" x14ac:dyDescent="0.25">
      <c r="A199" t="s">
        <v>207</v>
      </c>
      <c r="B199" t="s">
        <v>483</v>
      </c>
      <c r="C199" t="s">
        <v>560</v>
      </c>
      <c r="D199" t="s">
        <v>562</v>
      </c>
      <c r="E199">
        <v>84598.88</v>
      </c>
      <c r="F199" t="s">
        <v>639</v>
      </c>
      <c r="G199">
        <v>1</v>
      </c>
      <c r="H199" t="s">
        <v>684</v>
      </c>
      <c r="I199" t="s">
        <v>689</v>
      </c>
      <c r="J199" t="s">
        <v>891</v>
      </c>
    </row>
    <row r="200" spans="1:10" x14ac:dyDescent="0.25">
      <c r="A200" t="s">
        <v>208</v>
      </c>
      <c r="B200" t="s">
        <v>484</v>
      </c>
      <c r="C200" t="s">
        <v>561</v>
      </c>
      <c r="D200" t="s">
        <v>564</v>
      </c>
      <c r="E200">
        <v>68795.48</v>
      </c>
      <c r="F200" s="1">
        <v>44277</v>
      </c>
      <c r="G200">
        <v>0.2</v>
      </c>
      <c r="H200" t="s">
        <v>683</v>
      </c>
      <c r="I200" t="s">
        <v>693</v>
      </c>
      <c r="J200" t="s">
        <v>892</v>
      </c>
    </row>
    <row r="201" spans="1:10" x14ac:dyDescent="0.25">
      <c r="A201" t="s">
        <v>209</v>
      </c>
      <c r="B201" t="s">
        <v>485</v>
      </c>
      <c r="C201" t="s">
        <v>560</v>
      </c>
      <c r="D201" t="s">
        <v>562</v>
      </c>
      <c r="E201">
        <v>32269.91</v>
      </c>
      <c r="F201" t="s">
        <v>641</v>
      </c>
      <c r="G201">
        <v>1</v>
      </c>
      <c r="H201" t="s">
        <v>683</v>
      </c>
      <c r="I201" t="s">
        <v>692</v>
      </c>
      <c r="J201" t="s">
        <v>893</v>
      </c>
    </row>
    <row r="202" spans="1:10" x14ac:dyDescent="0.25">
      <c r="A202" t="s">
        <v>210</v>
      </c>
      <c r="B202" t="s">
        <v>486</v>
      </c>
      <c r="C202" t="s">
        <v>560</v>
      </c>
      <c r="D202" t="s">
        <v>566</v>
      </c>
      <c r="E202">
        <v>78705.929999999993</v>
      </c>
      <c r="F202" t="s">
        <v>658</v>
      </c>
      <c r="G202">
        <v>1</v>
      </c>
      <c r="H202" t="s">
        <v>684</v>
      </c>
      <c r="I202" t="s">
        <v>689</v>
      </c>
      <c r="J202" t="s">
        <v>894</v>
      </c>
    </row>
    <row r="203" spans="1:10" x14ac:dyDescent="0.25">
      <c r="A203" t="s">
        <v>211</v>
      </c>
      <c r="B203" t="s">
        <v>487</v>
      </c>
      <c r="C203" t="s">
        <v>561</v>
      </c>
      <c r="D203" t="s">
        <v>567</v>
      </c>
      <c r="E203">
        <v>53535.62</v>
      </c>
      <c r="F203" t="s">
        <v>659</v>
      </c>
      <c r="G203">
        <v>0.5</v>
      </c>
      <c r="H203" t="s">
        <v>684</v>
      </c>
      <c r="I203" t="s">
        <v>687</v>
      </c>
      <c r="J203" t="s">
        <v>895</v>
      </c>
    </row>
    <row r="204" spans="1:10" x14ac:dyDescent="0.25">
      <c r="A204" t="s">
        <v>212</v>
      </c>
      <c r="B204" t="s">
        <v>488</v>
      </c>
      <c r="C204" t="s">
        <v>560</v>
      </c>
      <c r="D204" t="s">
        <v>567</v>
      </c>
      <c r="E204">
        <v>41934.71</v>
      </c>
      <c r="F204" s="1">
        <v>43780</v>
      </c>
      <c r="G204">
        <v>1</v>
      </c>
      <c r="H204" t="s">
        <v>683</v>
      </c>
      <c r="I204" t="s">
        <v>692</v>
      </c>
      <c r="J204" t="s">
        <v>896</v>
      </c>
    </row>
    <row r="205" spans="1:10" x14ac:dyDescent="0.25">
      <c r="A205" t="s">
        <v>213</v>
      </c>
      <c r="B205" t="s">
        <v>489</v>
      </c>
      <c r="C205" t="s">
        <v>560</v>
      </c>
      <c r="D205" t="s">
        <v>568</v>
      </c>
      <c r="E205">
        <v>91929.69</v>
      </c>
      <c r="F205" s="1">
        <v>44085</v>
      </c>
      <c r="G205">
        <v>1</v>
      </c>
      <c r="H205" t="s">
        <v>684</v>
      </c>
      <c r="I205" t="s">
        <v>689</v>
      </c>
      <c r="J205" t="s">
        <v>897</v>
      </c>
    </row>
    <row r="206" spans="1:10" x14ac:dyDescent="0.25">
      <c r="A206" t="s">
        <v>214</v>
      </c>
      <c r="B206" t="s">
        <v>490</v>
      </c>
      <c r="C206" t="s">
        <v>561</v>
      </c>
      <c r="D206" t="s">
        <v>564</v>
      </c>
      <c r="E206">
        <v>62281.24</v>
      </c>
      <c r="F206" s="1">
        <v>43272</v>
      </c>
      <c r="G206">
        <v>1</v>
      </c>
      <c r="H206" t="s">
        <v>683</v>
      </c>
      <c r="I206" t="s">
        <v>692</v>
      </c>
      <c r="J206" t="s">
        <v>898</v>
      </c>
    </row>
    <row r="207" spans="1:10" x14ac:dyDescent="0.25">
      <c r="A207" t="s">
        <v>215</v>
      </c>
      <c r="B207" t="s">
        <v>491</v>
      </c>
      <c r="C207" t="s">
        <v>561</v>
      </c>
      <c r="D207" t="s">
        <v>568</v>
      </c>
      <c r="E207">
        <v>57925.91</v>
      </c>
      <c r="F207" t="s">
        <v>660</v>
      </c>
      <c r="G207">
        <v>0.5</v>
      </c>
      <c r="H207" t="s">
        <v>683</v>
      </c>
      <c r="I207" t="s">
        <v>689</v>
      </c>
      <c r="J207" t="s">
        <v>899</v>
      </c>
    </row>
    <row r="208" spans="1:10" x14ac:dyDescent="0.25">
      <c r="A208" t="s">
        <v>216</v>
      </c>
      <c r="B208" t="s">
        <v>492</v>
      </c>
      <c r="C208" t="s">
        <v>560</v>
      </c>
      <c r="D208" t="s">
        <v>564</v>
      </c>
      <c r="E208">
        <v>82239.53</v>
      </c>
      <c r="F208" s="1">
        <v>43846</v>
      </c>
      <c r="G208">
        <v>1</v>
      </c>
      <c r="H208" t="s">
        <v>685</v>
      </c>
      <c r="I208" t="s">
        <v>689</v>
      </c>
      <c r="J208" t="s">
        <v>900</v>
      </c>
    </row>
    <row r="209" spans="1:10" x14ac:dyDescent="0.25">
      <c r="A209" t="s">
        <v>217</v>
      </c>
      <c r="B209" t="s">
        <v>493</v>
      </c>
      <c r="C209" t="s">
        <v>560</v>
      </c>
      <c r="D209" t="s">
        <v>569</v>
      </c>
      <c r="E209">
        <v>53184.02</v>
      </c>
      <c r="F209" t="s">
        <v>661</v>
      </c>
      <c r="G209">
        <v>1</v>
      </c>
      <c r="H209" t="s">
        <v>684</v>
      </c>
      <c r="I209" t="s">
        <v>693</v>
      </c>
      <c r="J209" t="s">
        <v>901</v>
      </c>
    </row>
    <row r="210" spans="1:10" x14ac:dyDescent="0.25">
      <c r="A210" t="s">
        <v>218</v>
      </c>
      <c r="B210" t="s">
        <v>494</v>
      </c>
      <c r="C210" t="s">
        <v>560</v>
      </c>
      <c r="D210" t="s">
        <v>566</v>
      </c>
      <c r="E210">
        <v>35936.31</v>
      </c>
      <c r="F210" s="1">
        <v>43241</v>
      </c>
      <c r="G210">
        <v>1</v>
      </c>
      <c r="H210" t="s">
        <v>683</v>
      </c>
      <c r="I210" t="s">
        <v>689</v>
      </c>
      <c r="J210" t="s">
        <v>902</v>
      </c>
    </row>
    <row r="211" spans="1:10" x14ac:dyDescent="0.25">
      <c r="A211" t="s">
        <v>219</v>
      </c>
      <c r="B211" t="s">
        <v>495</v>
      </c>
      <c r="C211" t="s">
        <v>561</v>
      </c>
      <c r="D211" t="s">
        <v>567</v>
      </c>
      <c r="E211">
        <v>28305.08</v>
      </c>
      <c r="F211" s="1">
        <v>43754</v>
      </c>
      <c r="G211">
        <v>1</v>
      </c>
      <c r="H211" t="s">
        <v>683</v>
      </c>
      <c r="I211" t="s">
        <v>693</v>
      </c>
      <c r="J211" t="s">
        <v>903</v>
      </c>
    </row>
    <row r="212" spans="1:10" x14ac:dyDescent="0.25">
      <c r="A212" t="s">
        <v>220</v>
      </c>
      <c r="B212" t="s">
        <v>496</v>
      </c>
      <c r="C212" t="s">
        <v>561</v>
      </c>
      <c r="D212" t="s">
        <v>569</v>
      </c>
      <c r="E212">
        <v>29774.76</v>
      </c>
      <c r="F212" t="s">
        <v>662</v>
      </c>
      <c r="G212">
        <v>1</v>
      </c>
      <c r="H212" t="s">
        <v>683</v>
      </c>
      <c r="I212" t="s">
        <v>688</v>
      </c>
      <c r="J212" t="s">
        <v>904</v>
      </c>
    </row>
    <row r="213" spans="1:10" x14ac:dyDescent="0.25">
      <c r="A213" t="s">
        <v>221</v>
      </c>
      <c r="B213" t="s">
        <v>497</v>
      </c>
      <c r="C213" t="s">
        <v>561</v>
      </c>
      <c r="D213" t="s">
        <v>568</v>
      </c>
      <c r="E213">
        <v>102515.81</v>
      </c>
      <c r="F213" s="1">
        <v>43902</v>
      </c>
      <c r="G213">
        <v>1</v>
      </c>
      <c r="H213" t="s">
        <v>684</v>
      </c>
      <c r="I213" t="s">
        <v>691</v>
      </c>
      <c r="J213" t="s">
        <v>905</v>
      </c>
    </row>
    <row r="214" spans="1:10" x14ac:dyDescent="0.25">
      <c r="A214" t="s">
        <v>222</v>
      </c>
      <c r="B214" t="s">
        <v>498</v>
      </c>
      <c r="C214" t="s">
        <v>561</v>
      </c>
      <c r="D214" t="s">
        <v>568</v>
      </c>
      <c r="E214">
        <v>99448.78</v>
      </c>
      <c r="F214" t="s">
        <v>602</v>
      </c>
      <c r="G214">
        <v>1</v>
      </c>
      <c r="H214" t="s">
        <v>684</v>
      </c>
      <c r="I214" t="s">
        <v>689</v>
      </c>
      <c r="J214" t="s">
        <v>906</v>
      </c>
    </row>
    <row r="215" spans="1:10" x14ac:dyDescent="0.25">
      <c r="A215" t="s">
        <v>223</v>
      </c>
      <c r="B215" t="s">
        <v>499</v>
      </c>
      <c r="C215" t="s">
        <v>560</v>
      </c>
      <c r="D215" t="s">
        <v>562</v>
      </c>
      <c r="E215">
        <v>68795.48</v>
      </c>
      <c r="F215" s="1">
        <v>44277</v>
      </c>
      <c r="G215">
        <v>0.2</v>
      </c>
      <c r="H215" t="s">
        <v>683</v>
      </c>
      <c r="I215" t="s">
        <v>690</v>
      </c>
      <c r="J215" t="s">
        <v>907</v>
      </c>
    </row>
    <row r="216" spans="1:10" x14ac:dyDescent="0.25">
      <c r="A216" t="s">
        <v>224</v>
      </c>
      <c r="B216" t="s">
        <v>500</v>
      </c>
      <c r="C216" t="s">
        <v>561</v>
      </c>
      <c r="D216" t="s">
        <v>568</v>
      </c>
      <c r="E216">
        <v>99683.67</v>
      </c>
      <c r="F216" t="s">
        <v>616</v>
      </c>
      <c r="G216">
        <v>1</v>
      </c>
      <c r="H216" t="s">
        <v>684</v>
      </c>
      <c r="I216" t="s">
        <v>687</v>
      </c>
      <c r="J216" t="s">
        <v>908</v>
      </c>
    </row>
    <row r="217" spans="1:10" x14ac:dyDescent="0.25">
      <c r="A217" t="s">
        <v>225</v>
      </c>
      <c r="B217" t="s">
        <v>501</v>
      </c>
      <c r="C217" t="s">
        <v>560</v>
      </c>
      <c r="D217" t="s">
        <v>569</v>
      </c>
      <c r="E217">
        <v>38825.18</v>
      </c>
      <c r="F217" s="1">
        <v>43696</v>
      </c>
      <c r="G217">
        <v>1</v>
      </c>
      <c r="H217" t="s">
        <v>685</v>
      </c>
      <c r="I217" t="s">
        <v>690</v>
      </c>
      <c r="J217" t="s">
        <v>909</v>
      </c>
    </row>
    <row r="218" spans="1:10" x14ac:dyDescent="0.25">
      <c r="A218" t="s">
        <v>226</v>
      </c>
      <c r="B218" t="s">
        <v>502</v>
      </c>
      <c r="C218" t="s">
        <v>560</v>
      </c>
      <c r="D218" t="s">
        <v>569</v>
      </c>
      <c r="E218">
        <v>71229.42</v>
      </c>
      <c r="F218" s="1">
        <v>44166</v>
      </c>
      <c r="G218">
        <v>1</v>
      </c>
      <c r="H218" t="s">
        <v>683</v>
      </c>
      <c r="I218" t="s">
        <v>691</v>
      </c>
      <c r="J218" t="s">
        <v>910</v>
      </c>
    </row>
    <row r="219" spans="1:10" x14ac:dyDescent="0.25">
      <c r="A219" t="s">
        <v>227</v>
      </c>
      <c r="B219" t="s">
        <v>503</v>
      </c>
      <c r="C219" t="s">
        <v>561</v>
      </c>
      <c r="D219" t="s">
        <v>562</v>
      </c>
      <c r="E219">
        <v>80695.740000000005</v>
      </c>
      <c r="F219" s="1">
        <v>43360</v>
      </c>
      <c r="G219">
        <v>1</v>
      </c>
      <c r="H219" t="s">
        <v>683</v>
      </c>
      <c r="I219" t="s">
        <v>686</v>
      </c>
      <c r="J219" t="s">
        <v>911</v>
      </c>
    </row>
    <row r="220" spans="1:10" x14ac:dyDescent="0.25">
      <c r="A220" t="s">
        <v>228</v>
      </c>
      <c r="B220" t="s">
        <v>504</v>
      </c>
      <c r="C220" t="s">
        <v>561</v>
      </c>
      <c r="D220" t="s">
        <v>569</v>
      </c>
      <c r="E220">
        <v>72502.61</v>
      </c>
      <c r="F220" s="1">
        <v>44235</v>
      </c>
      <c r="G220">
        <v>1</v>
      </c>
      <c r="H220" t="s">
        <v>683</v>
      </c>
      <c r="I220" t="s">
        <v>691</v>
      </c>
      <c r="J220" t="s">
        <v>912</v>
      </c>
    </row>
    <row r="221" spans="1:10" x14ac:dyDescent="0.25">
      <c r="A221" t="s">
        <v>229</v>
      </c>
      <c r="B221" t="s">
        <v>505</v>
      </c>
      <c r="C221" t="s">
        <v>560</v>
      </c>
      <c r="D221" t="s">
        <v>569</v>
      </c>
      <c r="E221">
        <v>68197.899999999994</v>
      </c>
      <c r="F221" s="1">
        <v>44119</v>
      </c>
      <c r="G221">
        <v>1</v>
      </c>
      <c r="H221" t="s">
        <v>683</v>
      </c>
      <c r="I221" t="s">
        <v>687</v>
      </c>
      <c r="J221" t="s">
        <v>913</v>
      </c>
    </row>
    <row r="222" spans="1:10" x14ac:dyDescent="0.25">
      <c r="A222" t="s">
        <v>230</v>
      </c>
      <c r="B222" t="s">
        <v>506</v>
      </c>
      <c r="C222" t="s">
        <v>561</v>
      </c>
      <c r="D222" t="s">
        <v>563</v>
      </c>
      <c r="F222" t="s">
        <v>663</v>
      </c>
      <c r="G222">
        <v>1</v>
      </c>
      <c r="H222" t="s">
        <v>684</v>
      </c>
      <c r="I222" t="s">
        <v>690</v>
      </c>
      <c r="J222" t="s">
        <v>914</v>
      </c>
    </row>
    <row r="223" spans="1:10" x14ac:dyDescent="0.25">
      <c r="A223" t="s">
        <v>231</v>
      </c>
      <c r="B223" t="s">
        <v>507</v>
      </c>
      <c r="C223" t="s">
        <v>560</v>
      </c>
      <c r="D223" t="s">
        <v>565</v>
      </c>
      <c r="E223">
        <v>89960.6</v>
      </c>
      <c r="F223" s="1">
        <v>43515</v>
      </c>
      <c r="G223">
        <v>1</v>
      </c>
      <c r="H223" t="s">
        <v>684</v>
      </c>
      <c r="I223" t="s">
        <v>693</v>
      </c>
      <c r="J223" t="s">
        <v>915</v>
      </c>
    </row>
    <row r="224" spans="1:10" x14ac:dyDescent="0.25">
      <c r="A224" t="s">
        <v>232</v>
      </c>
      <c r="B224" t="s">
        <v>508</v>
      </c>
      <c r="C224" t="s">
        <v>560</v>
      </c>
      <c r="D224" t="s">
        <v>568</v>
      </c>
      <c r="F224" s="1">
        <v>44207</v>
      </c>
      <c r="G224">
        <v>0.7</v>
      </c>
      <c r="H224" t="s">
        <v>683</v>
      </c>
      <c r="I224" t="s">
        <v>691</v>
      </c>
      <c r="J224" t="s">
        <v>916</v>
      </c>
    </row>
    <row r="225" spans="1:10" x14ac:dyDescent="0.25">
      <c r="A225" t="s">
        <v>233</v>
      </c>
      <c r="B225" t="s">
        <v>509</v>
      </c>
      <c r="C225" t="s">
        <v>561</v>
      </c>
      <c r="D225" t="s">
        <v>565</v>
      </c>
      <c r="E225">
        <v>28481.16</v>
      </c>
      <c r="F225" s="1">
        <v>43916</v>
      </c>
      <c r="G225">
        <v>1</v>
      </c>
      <c r="H225" t="s">
        <v>683</v>
      </c>
      <c r="I225" t="s">
        <v>692</v>
      </c>
      <c r="J225" t="s">
        <v>917</v>
      </c>
    </row>
    <row r="226" spans="1:10" x14ac:dyDescent="0.25">
      <c r="A226" t="s">
        <v>234</v>
      </c>
      <c r="B226" t="s">
        <v>510</v>
      </c>
      <c r="C226" t="s">
        <v>560</v>
      </c>
      <c r="D226" t="s">
        <v>567</v>
      </c>
      <c r="E226">
        <v>116767.63</v>
      </c>
      <c r="F226" s="1">
        <v>43949</v>
      </c>
      <c r="G226">
        <v>0.4</v>
      </c>
      <c r="H226" t="s">
        <v>685</v>
      </c>
      <c r="I226" t="s">
        <v>686</v>
      </c>
      <c r="J226" t="s">
        <v>918</v>
      </c>
    </row>
    <row r="227" spans="1:10" x14ac:dyDescent="0.25">
      <c r="A227" t="s">
        <v>235</v>
      </c>
      <c r="B227" t="s">
        <v>511</v>
      </c>
      <c r="C227" t="s">
        <v>561</v>
      </c>
      <c r="D227" t="s">
        <v>565</v>
      </c>
      <c r="E227">
        <v>80360.41</v>
      </c>
      <c r="F227" t="s">
        <v>664</v>
      </c>
      <c r="G227">
        <v>1</v>
      </c>
      <c r="H227" t="s">
        <v>683</v>
      </c>
      <c r="I227" t="s">
        <v>688</v>
      </c>
      <c r="J227" t="s">
        <v>919</v>
      </c>
    </row>
    <row r="228" spans="1:10" x14ac:dyDescent="0.25">
      <c r="A228" t="s">
        <v>236</v>
      </c>
      <c r="B228" t="s">
        <v>512</v>
      </c>
      <c r="C228" t="s">
        <v>560</v>
      </c>
      <c r="D228" t="s">
        <v>569</v>
      </c>
      <c r="E228">
        <v>77045.440000000002</v>
      </c>
      <c r="F228" t="s">
        <v>665</v>
      </c>
      <c r="G228">
        <v>1</v>
      </c>
      <c r="H228" t="s">
        <v>683</v>
      </c>
      <c r="I228" t="s">
        <v>691</v>
      </c>
      <c r="J228" t="s">
        <v>920</v>
      </c>
    </row>
    <row r="229" spans="1:10" x14ac:dyDescent="0.25">
      <c r="A229" t="s">
        <v>237</v>
      </c>
      <c r="B229" t="s">
        <v>513</v>
      </c>
      <c r="C229" t="s">
        <v>560</v>
      </c>
      <c r="D229" t="s">
        <v>562</v>
      </c>
      <c r="E229">
        <v>96135.75</v>
      </c>
      <c r="F229" t="s">
        <v>666</v>
      </c>
      <c r="G229">
        <v>0.3</v>
      </c>
      <c r="H229" t="s">
        <v>683</v>
      </c>
      <c r="I229" t="s">
        <v>689</v>
      </c>
      <c r="J229" t="s">
        <v>921</v>
      </c>
    </row>
    <row r="230" spans="1:10" x14ac:dyDescent="0.25">
      <c r="A230" t="s">
        <v>238</v>
      </c>
      <c r="B230" t="s">
        <v>514</v>
      </c>
      <c r="C230" t="s">
        <v>560</v>
      </c>
      <c r="D230" t="s">
        <v>567</v>
      </c>
      <c r="E230">
        <v>102129.37</v>
      </c>
      <c r="F230" t="s">
        <v>632</v>
      </c>
      <c r="G230">
        <v>1</v>
      </c>
      <c r="H230" t="s">
        <v>683</v>
      </c>
      <c r="I230" t="s">
        <v>691</v>
      </c>
      <c r="J230" t="s">
        <v>922</v>
      </c>
    </row>
    <row r="231" spans="1:10" x14ac:dyDescent="0.25">
      <c r="A231" t="s">
        <v>239</v>
      </c>
      <c r="B231" t="s">
        <v>515</v>
      </c>
      <c r="C231" t="s">
        <v>561</v>
      </c>
      <c r="D231" t="s">
        <v>566</v>
      </c>
      <c r="E231">
        <v>99965.97</v>
      </c>
      <c r="F231" t="s">
        <v>667</v>
      </c>
      <c r="G231">
        <v>1</v>
      </c>
      <c r="H231" t="s">
        <v>683</v>
      </c>
      <c r="I231" t="s">
        <v>688</v>
      </c>
      <c r="J231" t="s">
        <v>923</v>
      </c>
    </row>
    <row r="232" spans="1:10" x14ac:dyDescent="0.25">
      <c r="A232" t="s">
        <v>240</v>
      </c>
      <c r="B232" t="s">
        <v>516</v>
      </c>
      <c r="C232" t="s">
        <v>560</v>
      </c>
      <c r="D232" t="s">
        <v>562</v>
      </c>
      <c r="E232">
        <v>49625.64</v>
      </c>
      <c r="F232" s="1">
        <v>44384</v>
      </c>
      <c r="G232">
        <v>0.5</v>
      </c>
      <c r="H232" t="s">
        <v>684</v>
      </c>
      <c r="I232" t="s">
        <v>687</v>
      </c>
      <c r="J232" t="s">
        <v>924</v>
      </c>
    </row>
    <row r="233" spans="1:10" x14ac:dyDescent="0.25">
      <c r="A233" t="s">
        <v>241</v>
      </c>
      <c r="B233" t="s">
        <v>517</v>
      </c>
      <c r="C233" t="s">
        <v>561</v>
      </c>
      <c r="D233" t="s">
        <v>566</v>
      </c>
      <c r="E233">
        <v>94815.28</v>
      </c>
      <c r="F233" t="s">
        <v>668</v>
      </c>
      <c r="G233">
        <v>1</v>
      </c>
      <c r="H233" t="s">
        <v>683</v>
      </c>
      <c r="I233" t="s">
        <v>692</v>
      </c>
      <c r="J233" t="s">
        <v>925</v>
      </c>
    </row>
    <row r="234" spans="1:10" x14ac:dyDescent="0.25">
      <c r="A234" t="s">
        <v>242</v>
      </c>
      <c r="B234" t="s">
        <v>518</v>
      </c>
      <c r="C234" t="s">
        <v>561</v>
      </c>
      <c r="D234" t="s">
        <v>562</v>
      </c>
      <c r="E234">
        <v>36714.379999999997</v>
      </c>
      <c r="F234" s="1">
        <v>44175</v>
      </c>
      <c r="G234">
        <v>1</v>
      </c>
      <c r="H234" t="s">
        <v>683</v>
      </c>
      <c r="I234" t="s">
        <v>690</v>
      </c>
      <c r="J234" t="s">
        <v>926</v>
      </c>
    </row>
    <row r="235" spans="1:10" x14ac:dyDescent="0.25">
      <c r="A235" t="s">
        <v>243</v>
      </c>
      <c r="B235" t="s">
        <v>519</v>
      </c>
      <c r="C235" t="s">
        <v>560</v>
      </c>
      <c r="D235" t="s">
        <v>565</v>
      </c>
      <c r="E235">
        <v>67905.8</v>
      </c>
      <c r="F235" s="1">
        <v>44194</v>
      </c>
      <c r="G235">
        <v>1</v>
      </c>
      <c r="H235" t="s">
        <v>683</v>
      </c>
      <c r="I235" t="s">
        <v>692</v>
      </c>
      <c r="J235" t="s">
        <v>927</v>
      </c>
    </row>
    <row r="236" spans="1:10" x14ac:dyDescent="0.25">
      <c r="A236" t="s">
        <v>244</v>
      </c>
      <c r="B236" t="s">
        <v>520</v>
      </c>
      <c r="C236" t="s">
        <v>560</v>
      </c>
      <c r="D236" t="s">
        <v>562</v>
      </c>
      <c r="E236">
        <v>69862.38</v>
      </c>
      <c r="F236" t="s">
        <v>669</v>
      </c>
      <c r="G236">
        <v>1</v>
      </c>
      <c r="H236" t="s">
        <v>683</v>
      </c>
      <c r="I236" t="s">
        <v>686</v>
      </c>
      <c r="J236" t="s">
        <v>928</v>
      </c>
    </row>
    <row r="237" spans="1:10" x14ac:dyDescent="0.25">
      <c r="A237" t="s">
        <v>245</v>
      </c>
      <c r="B237" t="s">
        <v>521</v>
      </c>
      <c r="C237" t="s">
        <v>560</v>
      </c>
      <c r="D237" t="s">
        <v>565</v>
      </c>
      <c r="E237">
        <v>36547.58</v>
      </c>
      <c r="F237" s="1">
        <v>43416</v>
      </c>
      <c r="G237">
        <v>1</v>
      </c>
      <c r="H237" t="s">
        <v>683</v>
      </c>
      <c r="I237" t="s">
        <v>692</v>
      </c>
      <c r="J237" t="s">
        <v>929</v>
      </c>
    </row>
    <row r="238" spans="1:10" x14ac:dyDescent="0.25">
      <c r="A238" t="s">
        <v>246</v>
      </c>
      <c r="B238" t="s">
        <v>522</v>
      </c>
      <c r="C238" t="s">
        <v>561</v>
      </c>
      <c r="D238" t="s">
        <v>563</v>
      </c>
      <c r="E238">
        <v>106400.02</v>
      </c>
      <c r="F238" t="s">
        <v>670</v>
      </c>
      <c r="G238">
        <v>1</v>
      </c>
      <c r="H238" t="s">
        <v>685</v>
      </c>
      <c r="I238" t="s">
        <v>688</v>
      </c>
      <c r="J238" t="s">
        <v>930</v>
      </c>
    </row>
    <row r="239" spans="1:10" x14ac:dyDescent="0.25">
      <c r="A239" t="s">
        <v>247</v>
      </c>
      <c r="B239" t="s">
        <v>523</v>
      </c>
      <c r="C239" t="s">
        <v>560</v>
      </c>
      <c r="D239" t="s">
        <v>563</v>
      </c>
      <c r="E239">
        <v>103494.94</v>
      </c>
      <c r="F239" t="s">
        <v>671</v>
      </c>
      <c r="G239">
        <v>1</v>
      </c>
      <c r="H239" t="s">
        <v>683</v>
      </c>
      <c r="I239" t="s">
        <v>693</v>
      </c>
      <c r="J239" t="s">
        <v>931</v>
      </c>
    </row>
    <row r="240" spans="1:10" x14ac:dyDescent="0.25">
      <c r="A240" t="s">
        <v>248</v>
      </c>
      <c r="B240" t="s">
        <v>524</v>
      </c>
      <c r="C240" t="s">
        <v>561</v>
      </c>
      <c r="D240" t="s">
        <v>568</v>
      </c>
      <c r="E240">
        <v>96753.78</v>
      </c>
      <c r="F240" s="1">
        <v>44494</v>
      </c>
      <c r="G240">
        <v>1</v>
      </c>
      <c r="H240" t="s">
        <v>683</v>
      </c>
      <c r="I240" t="s">
        <v>691</v>
      </c>
      <c r="J240" t="s">
        <v>932</v>
      </c>
    </row>
    <row r="241" spans="1:10" x14ac:dyDescent="0.25">
      <c r="A241" t="s">
        <v>249</v>
      </c>
      <c r="B241" t="s">
        <v>525</v>
      </c>
      <c r="C241" t="s">
        <v>561</v>
      </c>
      <c r="D241" t="s">
        <v>568</v>
      </c>
      <c r="E241">
        <v>80695.740000000005</v>
      </c>
      <c r="F241" s="1">
        <v>43360</v>
      </c>
      <c r="G241">
        <v>1</v>
      </c>
      <c r="H241" t="s">
        <v>683</v>
      </c>
      <c r="I241" t="s">
        <v>693</v>
      </c>
      <c r="J241" t="s">
        <v>933</v>
      </c>
    </row>
    <row r="242" spans="1:10" x14ac:dyDescent="0.25">
      <c r="A242" t="s">
        <v>250</v>
      </c>
      <c r="B242" t="s">
        <v>526</v>
      </c>
      <c r="C242" t="s">
        <v>561</v>
      </c>
      <c r="D242" t="s">
        <v>565</v>
      </c>
      <c r="E242">
        <v>61213.01</v>
      </c>
      <c r="F242" t="s">
        <v>672</v>
      </c>
      <c r="G242">
        <v>1</v>
      </c>
      <c r="H242" t="s">
        <v>683</v>
      </c>
      <c r="I242" t="s">
        <v>690</v>
      </c>
      <c r="J242" t="s">
        <v>934</v>
      </c>
    </row>
    <row r="243" spans="1:10" x14ac:dyDescent="0.25">
      <c r="A243" t="s">
        <v>251</v>
      </c>
      <c r="B243" t="s">
        <v>527</v>
      </c>
      <c r="C243" t="s">
        <v>560</v>
      </c>
      <c r="D243" t="s">
        <v>566</v>
      </c>
      <c r="E243">
        <v>69709.509999999995</v>
      </c>
      <c r="F243" t="s">
        <v>673</v>
      </c>
      <c r="G243">
        <v>1</v>
      </c>
      <c r="H243" t="s">
        <v>683</v>
      </c>
      <c r="I243" t="s">
        <v>686</v>
      </c>
      <c r="J243" t="s">
        <v>935</v>
      </c>
    </row>
    <row r="244" spans="1:10" x14ac:dyDescent="0.25">
      <c r="A244" t="s">
        <v>252</v>
      </c>
      <c r="B244" t="s">
        <v>528</v>
      </c>
      <c r="C244" t="s">
        <v>560</v>
      </c>
      <c r="D244" t="s">
        <v>568</v>
      </c>
      <c r="E244">
        <v>46751.7</v>
      </c>
      <c r="F244" s="1">
        <v>43843</v>
      </c>
      <c r="G244">
        <v>1</v>
      </c>
      <c r="H244" t="s">
        <v>684</v>
      </c>
      <c r="I244" t="s">
        <v>693</v>
      </c>
      <c r="J244" t="s">
        <v>936</v>
      </c>
    </row>
    <row r="245" spans="1:10" x14ac:dyDescent="0.25">
      <c r="A245" t="s">
        <v>253</v>
      </c>
      <c r="B245" t="s">
        <v>529</v>
      </c>
      <c r="C245" t="s">
        <v>561</v>
      </c>
      <c r="D245" t="s">
        <v>563</v>
      </c>
      <c r="E245">
        <v>77096.05</v>
      </c>
      <c r="F245" s="1">
        <v>43217</v>
      </c>
      <c r="G245">
        <v>1</v>
      </c>
      <c r="H245" t="s">
        <v>683</v>
      </c>
      <c r="I245" t="s">
        <v>686</v>
      </c>
      <c r="J245" t="s">
        <v>937</v>
      </c>
    </row>
    <row r="246" spans="1:10" x14ac:dyDescent="0.25">
      <c r="A246" t="s">
        <v>254</v>
      </c>
      <c r="B246" t="s">
        <v>530</v>
      </c>
      <c r="C246" t="s">
        <v>560</v>
      </c>
      <c r="D246" t="s">
        <v>566</v>
      </c>
      <c r="E246">
        <v>67818.14</v>
      </c>
      <c r="F246" t="s">
        <v>594</v>
      </c>
      <c r="G246">
        <v>0.6</v>
      </c>
      <c r="H246" t="s">
        <v>684</v>
      </c>
      <c r="I246" t="s">
        <v>693</v>
      </c>
      <c r="J246" t="s">
        <v>938</v>
      </c>
    </row>
    <row r="247" spans="1:10" x14ac:dyDescent="0.25">
      <c r="A247" t="s">
        <v>255</v>
      </c>
      <c r="B247" t="s">
        <v>531</v>
      </c>
      <c r="C247" t="s">
        <v>560</v>
      </c>
      <c r="D247" t="s">
        <v>567</v>
      </c>
      <c r="E247">
        <v>77743.149999999994</v>
      </c>
      <c r="F247" t="s">
        <v>674</v>
      </c>
      <c r="G247">
        <v>1</v>
      </c>
      <c r="H247" t="s">
        <v>683</v>
      </c>
      <c r="I247" t="s">
        <v>691</v>
      </c>
      <c r="J247" t="s">
        <v>939</v>
      </c>
    </row>
    <row r="248" spans="1:10" x14ac:dyDescent="0.25">
      <c r="A248" t="s">
        <v>256</v>
      </c>
      <c r="B248" t="s">
        <v>532</v>
      </c>
      <c r="C248" t="s">
        <v>560</v>
      </c>
      <c r="D248" t="s">
        <v>564</v>
      </c>
      <c r="E248">
        <v>48525.71</v>
      </c>
      <c r="F248" t="s">
        <v>675</v>
      </c>
      <c r="G248">
        <v>1</v>
      </c>
      <c r="H248" t="s">
        <v>683</v>
      </c>
      <c r="I248" t="s">
        <v>691</v>
      </c>
      <c r="J248" t="s">
        <v>940</v>
      </c>
    </row>
    <row r="249" spans="1:10" x14ac:dyDescent="0.25">
      <c r="A249" t="s">
        <v>257</v>
      </c>
      <c r="B249" t="s">
        <v>533</v>
      </c>
      <c r="C249" t="s">
        <v>561</v>
      </c>
      <c r="D249" t="s">
        <v>564</v>
      </c>
      <c r="E249">
        <v>103494.94</v>
      </c>
      <c r="F249" t="s">
        <v>671</v>
      </c>
      <c r="G249">
        <v>1</v>
      </c>
      <c r="H249" t="s">
        <v>683</v>
      </c>
      <c r="I249" t="s">
        <v>688</v>
      </c>
      <c r="J249" t="s">
        <v>941</v>
      </c>
    </row>
    <row r="250" spans="1:10" x14ac:dyDescent="0.25">
      <c r="A250" t="s">
        <v>258</v>
      </c>
      <c r="B250" t="s">
        <v>534</v>
      </c>
      <c r="C250" t="s">
        <v>561</v>
      </c>
      <c r="D250" t="s">
        <v>568</v>
      </c>
      <c r="E250">
        <v>106400.02</v>
      </c>
      <c r="F250" t="s">
        <v>670</v>
      </c>
      <c r="G250">
        <v>1</v>
      </c>
      <c r="H250" t="s">
        <v>685</v>
      </c>
      <c r="I250" t="s">
        <v>686</v>
      </c>
      <c r="J250" t="s">
        <v>942</v>
      </c>
    </row>
    <row r="251" spans="1:10" x14ac:dyDescent="0.25">
      <c r="A251" t="s">
        <v>259</v>
      </c>
      <c r="B251" t="s">
        <v>535</v>
      </c>
      <c r="C251" t="s">
        <v>560</v>
      </c>
      <c r="D251" t="s">
        <v>564</v>
      </c>
      <c r="F251" t="s">
        <v>676</v>
      </c>
      <c r="G251">
        <v>1</v>
      </c>
      <c r="H251" t="s">
        <v>683</v>
      </c>
      <c r="I251" t="s">
        <v>688</v>
      </c>
      <c r="J251" t="s">
        <v>943</v>
      </c>
    </row>
    <row r="252" spans="1:10" x14ac:dyDescent="0.25">
      <c r="A252" t="s">
        <v>260</v>
      </c>
      <c r="B252" t="s">
        <v>536</v>
      </c>
      <c r="C252" t="s">
        <v>560</v>
      </c>
      <c r="D252" t="s">
        <v>566</v>
      </c>
      <c r="E252">
        <v>65569.36</v>
      </c>
      <c r="F252" s="1">
        <v>43293</v>
      </c>
      <c r="G252">
        <v>1</v>
      </c>
      <c r="H252" t="s">
        <v>684</v>
      </c>
      <c r="I252" t="s">
        <v>687</v>
      </c>
      <c r="J252" t="s">
        <v>944</v>
      </c>
    </row>
    <row r="253" spans="1:10" x14ac:dyDescent="0.25">
      <c r="A253" t="s">
        <v>261</v>
      </c>
      <c r="B253" t="s">
        <v>537</v>
      </c>
      <c r="C253" t="s">
        <v>561</v>
      </c>
      <c r="D253" t="s">
        <v>568</v>
      </c>
      <c r="E253">
        <v>40445.29</v>
      </c>
      <c r="F253" s="1">
        <v>44393</v>
      </c>
      <c r="G253">
        <v>1</v>
      </c>
      <c r="H253" t="s">
        <v>683</v>
      </c>
      <c r="I253" t="s">
        <v>693</v>
      </c>
      <c r="J253" t="s">
        <v>945</v>
      </c>
    </row>
    <row r="254" spans="1:10" x14ac:dyDescent="0.25">
      <c r="A254" t="s">
        <v>262</v>
      </c>
      <c r="B254" t="s">
        <v>538</v>
      </c>
      <c r="C254" t="s">
        <v>561</v>
      </c>
      <c r="D254" t="s">
        <v>566</v>
      </c>
      <c r="E254">
        <v>0</v>
      </c>
      <c r="F254" s="1">
        <v>44207</v>
      </c>
      <c r="G254">
        <v>0.7</v>
      </c>
      <c r="H254" t="s">
        <v>683</v>
      </c>
      <c r="I254" t="s">
        <v>686</v>
      </c>
      <c r="J254" t="s">
        <v>946</v>
      </c>
    </row>
    <row r="255" spans="1:10" x14ac:dyDescent="0.25">
      <c r="A255" t="s">
        <v>263</v>
      </c>
      <c r="B255" t="s">
        <v>539</v>
      </c>
      <c r="C255" t="s">
        <v>561</v>
      </c>
      <c r="D255" t="s">
        <v>569</v>
      </c>
      <c r="E255">
        <v>114772.32</v>
      </c>
      <c r="F255" t="s">
        <v>677</v>
      </c>
      <c r="G255">
        <v>1</v>
      </c>
      <c r="H255" t="s">
        <v>683</v>
      </c>
      <c r="I255" t="s">
        <v>686</v>
      </c>
      <c r="J255" t="s">
        <v>947</v>
      </c>
    </row>
    <row r="256" spans="1:10" x14ac:dyDescent="0.25">
      <c r="A256" t="s">
        <v>264</v>
      </c>
      <c r="B256" t="s">
        <v>540</v>
      </c>
      <c r="C256" t="s">
        <v>560</v>
      </c>
      <c r="D256" t="s">
        <v>568</v>
      </c>
      <c r="E256">
        <v>56253.81</v>
      </c>
      <c r="F256" t="s">
        <v>678</v>
      </c>
      <c r="G256">
        <v>1</v>
      </c>
      <c r="H256" t="s">
        <v>683</v>
      </c>
      <c r="I256" t="s">
        <v>688</v>
      </c>
      <c r="J256" t="s">
        <v>948</v>
      </c>
    </row>
    <row r="257" spans="1:10" x14ac:dyDescent="0.25">
      <c r="A257" t="s">
        <v>265</v>
      </c>
      <c r="B257" t="s">
        <v>541</v>
      </c>
      <c r="C257" t="s">
        <v>560</v>
      </c>
      <c r="D257" t="s">
        <v>568</v>
      </c>
      <c r="E257">
        <v>51798.25</v>
      </c>
      <c r="F257" t="s">
        <v>590</v>
      </c>
      <c r="G257">
        <v>1</v>
      </c>
      <c r="H257" t="s">
        <v>683</v>
      </c>
      <c r="I257" t="s">
        <v>692</v>
      </c>
      <c r="J257" t="s">
        <v>949</v>
      </c>
    </row>
    <row r="258" spans="1:10" x14ac:dyDescent="0.25">
      <c r="A258" t="s">
        <v>266</v>
      </c>
      <c r="B258" t="s">
        <v>542</v>
      </c>
      <c r="C258" t="s">
        <v>560</v>
      </c>
      <c r="D258" t="s">
        <v>565</v>
      </c>
      <c r="E258">
        <v>28329.77</v>
      </c>
      <c r="F258" t="s">
        <v>629</v>
      </c>
      <c r="G258">
        <v>1</v>
      </c>
      <c r="H258" t="s">
        <v>683</v>
      </c>
      <c r="I258" t="s">
        <v>686</v>
      </c>
      <c r="J258" t="s">
        <v>950</v>
      </c>
    </row>
    <row r="259" spans="1:10" x14ac:dyDescent="0.25">
      <c r="A259" t="s">
        <v>267</v>
      </c>
      <c r="B259" t="s">
        <v>415</v>
      </c>
      <c r="C259" t="s">
        <v>560</v>
      </c>
      <c r="D259" t="s">
        <v>566</v>
      </c>
      <c r="E259">
        <v>93964.3</v>
      </c>
      <c r="F259" s="1">
        <v>44454</v>
      </c>
      <c r="G259">
        <v>0.4</v>
      </c>
      <c r="H259" t="s">
        <v>684</v>
      </c>
      <c r="I259" t="s">
        <v>692</v>
      </c>
      <c r="J259" t="s">
        <v>951</v>
      </c>
    </row>
    <row r="260" spans="1:10" x14ac:dyDescent="0.25">
      <c r="A260" t="s">
        <v>268</v>
      </c>
      <c r="B260" t="s">
        <v>543</v>
      </c>
      <c r="C260" t="s">
        <v>560</v>
      </c>
      <c r="D260" t="s">
        <v>562</v>
      </c>
      <c r="E260">
        <v>90884.32</v>
      </c>
      <c r="F260" s="1">
        <v>44039</v>
      </c>
      <c r="G260">
        <v>0.5</v>
      </c>
      <c r="H260" t="s">
        <v>683</v>
      </c>
      <c r="I260" t="s">
        <v>690</v>
      </c>
      <c r="J260" t="s">
        <v>952</v>
      </c>
    </row>
    <row r="261" spans="1:10" x14ac:dyDescent="0.25">
      <c r="A261" t="s">
        <v>269</v>
      </c>
      <c r="B261" t="s">
        <v>544</v>
      </c>
      <c r="C261" t="s">
        <v>561</v>
      </c>
      <c r="D261" t="s">
        <v>563</v>
      </c>
      <c r="E261">
        <v>84742.86</v>
      </c>
      <c r="F261" t="s">
        <v>679</v>
      </c>
      <c r="G261">
        <v>1</v>
      </c>
      <c r="H261" t="s">
        <v>683</v>
      </c>
      <c r="I261" t="s">
        <v>689</v>
      </c>
      <c r="J261" t="s">
        <v>953</v>
      </c>
    </row>
    <row r="262" spans="1:10" x14ac:dyDescent="0.25">
      <c r="A262" t="s">
        <v>270</v>
      </c>
      <c r="B262" t="s">
        <v>545</v>
      </c>
      <c r="C262" t="s">
        <v>561</v>
      </c>
      <c r="D262" t="s">
        <v>569</v>
      </c>
      <c r="E262">
        <v>80772.92</v>
      </c>
      <c r="F262" t="s">
        <v>680</v>
      </c>
      <c r="G262">
        <v>1</v>
      </c>
      <c r="H262" t="s">
        <v>685</v>
      </c>
      <c r="I262" t="s">
        <v>692</v>
      </c>
      <c r="J262" t="s">
        <v>954</v>
      </c>
    </row>
    <row r="263" spans="1:10" x14ac:dyDescent="0.25">
      <c r="A263" t="s">
        <v>271</v>
      </c>
      <c r="B263" t="s">
        <v>546</v>
      </c>
      <c r="C263" t="s">
        <v>560</v>
      </c>
      <c r="D263" t="s">
        <v>562</v>
      </c>
      <c r="E263">
        <v>85264.38</v>
      </c>
      <c r="F263" t="s">
        <v>681</v>
      </c>
      <c r="G263">
        <v>1</v>
      </c>
      <c r="H263" t="s">
        <v>683</v>
      </c>
      <c r="I263" t="s">
        <v>690</v>
      </c>
      <c r="J263" t="s">
        <v>955</v>
      </c>
    </row>
    <row r="264" spans="1:10" x14ac:dyDescent="0.25">
      <c r="A264" t="s">
        <v>272</v>
      </c>
      <c r="B264" t="s">
        <v>547</v>
      </c>
      <c r="C264" t="s">
        <v>561</v>
      </c>
      <c r="D264" t="s">
        <v>563</v>
      </c>
      <c r="F264" t="s">
        <v>603</v>
      </c>
      <c r="G264">
        <v>1</v>
      </c>
      <c r="H264" t="s">
        <v>683</v>
      </c>
      <c r="I264" t="s">
        <v>693</v>
      </c>
      <c r="J264" t="s">
        <v>956</v>
      </c>
    </row>
    <row r="265" spans="1:10" x14ac:dyDescent="0.25">
      <c r="A265" t="s">
        <v>273</v>
      </c>
      <c r="B265" t="s">
        <v>548</v>
      </c>
      <c r="C265" t="s">
        <v>561</v>
      </c>
      <c r="D265" t="s">
        <v>565</v>
      </c>
      <c r="E265">
        <v>113747.56</v>
      </c>
      <c r="F265" t="s">
        <v>604</v>
      </c>
      <c r="G265">
        <v>0.7</v>
      </c>
      <c r="H265" t="s">
        <v>685</v>
      </c>
      <c r="I265" t="s">
        <v>691</v>
      </c>
      <c r="J265" t="s">
        <v>957</v>
      </c>
    </row>
    <row r="266" spans="1:10" x14ac:dyDescent="0.25">
      <c r="A266" t="s">
        <v>274</v>
      </c>
      <c r="B266" t="s">
        <v>294</v>
      </c>
      <c r="C266" t="s">
        <v>561</v>
      </c>
      <c r="D266" t="s">
        <v>562</v>
      </c>
      <c r="E266">
        <v>78378.2</v>
      </c>
      <c r="F266" s="1">
        <v>43465</v>
      </c>
      <c r="G266">
        <v>0.4</v>
      </c>
      <c r="H266" t="s">
        <v>683</v>
      </c>
      <c r="I266" t="s">
        <v>693</v>
      </c>
      <c r="J266" t="s">
        <v>958</v>
      </c>
    </row>
    <row r="267" spans="1:10" x14ac:dyDescent="0.25">
      <c r="A267" t="s">
        <v>275</v>
      </c>
      <c r="B267" t="s">
        <v>549</v>
      </c>
      <c r="C267" t="s">
        <v>561</v>
      </c>
      <c r="D267" t="s">
        <v>568</v>
      </c>
      <c r="E267">
        <v>91314.75</v>
      </c>
      <c r="F267" s="1">
        <v>43931</v>
      </c>
      <c r="G267">
        <v>1</v>
      </c>
      <c r="H267" t="s">
        <v>684</v>
      </c>
      <c r="I267" t="s">
        <v>688</v>
      </c>
      <c r="J267" t="s">
        <v>959</v>
      </c>
    </row>
    <row r="268" spans="1:10" x14ac:dyDescent="0.25">
      <c r="A268" t="s">
        <v>276</v>
      </c>
      <c r="B268" t="s">
        <v>550</v>
      </c>
      <c r="C268" t="s">
        <v>561</v>
      </c>
      <c r="D268" t="s">
        <v>568</v>
      </c>
      <c r="E268">
        <v>66572.58</v>
      </c>
      <c r="F268" t="s">
        <v>621</v>
      </c>
      <c r="G268">
        <v>1</v>
      </c>
      <c r="H268" t="s">
        <v>683</v>
      </c>
      <c r="I268" t="s">
        <v>690</v>
      </c>
      <c r="J268" t="s">
        <v>960</v>
      </c>
    </row>
    <row r="269" spans="1:10" x14ac:dyDescent="0.25">
      <c r="A269" t="s">
        <v>277</v>
      </c>
      <c r="B269" t="s">
        <v>551</v>
      </c>
      <c r="C269" t="s">
        <v>561</v>
      </c>
      <c r="D269" t="s">
        <v>562</v>
      </c>
      <c r="E269">
        <v>30077.45</v>
      </c>
      <c r="F269" s="1">
        <v>43474</v>
      </c>
      <c r="G269">
        <v>1</v>
      </c>
      <c r="H269" t="s">
        <v>683</v>
      </c>
      <c r="I269" t="s">
        <v>687</v>
      </c>
      <c r="J269" t="s">
        <v>961</v>
      </c>
    </row>
    <row r="270" spans="1:10" x14ac:dyDescent="0.25">
      <c r="A270" t="s">
        <v>278</v>
      </c>
      <c r="B270" t="s">
        <v>552</v>
      </c>
      <c r="C270" t="s">
        <v>561</v>
      </c>
      <c r="D270" t="s">
        <v>568</v>
      </c>
      <c r="E270">
        <v>98012.63</v>
      </c>
      <c r="F270" s="1">
        <v>43780</v>
      </c>
      <c r="G270">
        <v>1</v>
      </c>
      <c r="H270" t="s">
        <v>683</v>
      </c>
      <c r="I270" t="s">
        <v>687</v>
      </c>
      <c r="J270" t="s">
        <v>962</v>
      </c>
    </row>
    <row r="271" spans="1:10" x14ac:dyDescent="0.25">
      <c r="A271" t="s">
        <v>279</v>
      </c>
      <c r="B271" t="s">
        <v>553</v>
      </c>
      <c r="C271" t="s">
        <v>560</v>
      </c>
      <c r="D271" t="s">
        <v>566</v>
      </c>
      <c r="E271">
        <v>72876.91</v>
      </c>
      <c r="F271" s="1">
        <v>43837</v>
      </c>
      <c r="G271">
        <v>1</v>
      </c>
      <c r="H271" t="s">
        <v>683</v>
      </c>
      <c r="I271" t="s">
        <v>691</v>
      </c>
      <c r="J271" t="s">
        <v>963</v>
      </c>
    </row>
    <row r="272" spans="1:10" x14ac:dyDescent="0.25">
      <c r="A272" t="s">
        <v>280</v>
      </c>
      <c r="B272" t="s">
        <v>554</v>
      </c>
      <c r="C272" t="s">
        <v>560</v>
      </c>
      <c r="D272" t="s">
        <v>569</v>
      </c>
      <c r="E272">
        <v>92943.89</v>
      </c>
      <c r="F272" s="1">
        <v>44510</v>
      </c>
      <c r="G272">
        <v>1</v>
      </c>
      <c r="H272" t="s">
        <v>683</v>
      </c>
      <c r="I272" t="s">
        <v>691</v>
      </c>
      <c r="J272" t="s">
        <v>964</v>
      </c>
    </row>
    <row r="273" spans="1:10" x14ac:dyDescent="0.25">
      <c r="A273" t="s">
        <v>281</v>
      </c>
      <c r="B273" t="s">
        <v>555</v>
      </c>
      <c r="C273" t="s">
        <v>560</v>
      </c>
      <c r="D273" t="s">
        <v>566</v>
      </c>
      <c r="E273">
        <v>29808.07</v>
      </c>
      <c r="F273" t="s">
        <v>682</v>
      </c>
      <c r="G273">
        <v>0.3</v>
      </c>
      <c r="H273" t="s">
        <v>685</v>
      </c>
      <c r="I273" t="s">
        <v>688</v>
      </c>
      <c r="J273" t="s">
        <v>965</v>
      </c>
    </row>
    <row r="274" spans="1:10" x14ac:dyDescent="0.25">
      <c r="A274" t="s">
        <v>282</v>
      </c>
      <c r="B274" t="s">
        <v>556</v>
      </c>
      <c r="C274" t="s">
        <v>560</v>
      </c>
      <c r="D274" t="s">
        <v>566</v>
      </c>
      <c r="E274">
        <v>47551.89</v>
      </c>
      <c r="F274" s="1">
        <v>43468</v>
      </c>
      <c r="G274">
        <v>1</v>
      </c>
      <c r="H274" t="s">
        <v>683</v>
      </c>
      <c r="I274" t="s">
        <v>690</v>
      </c>
      <c r="J274" t="s">
        <v>966</v>
      </c>
    </row>
    <row r="275" spans="1:10" x14ac:dyDescent="0.25">
      <c r="A275" t="s">
        <v>283</v>
      </c>
      <c r="B275" t="s">
        <v>557</v>
      </c>
      <c r="C275" t="s">
        <v>560</v>
      </c>
      <c r="D275" t="s">
        <v>564</v>
      </c>
      <c r="E275">
        <v>39700.82</v>
      </c>
      <c r="F275" s="1">
        <v>44203</v>
      </c>
      <c r="G275">
        <v>0.8</v>
      </c>
      <c r="H275" t="s">
        <v>683</v>
      </c>
      <c r="I275" t="s">
        <v>686</v>
      </c>
      <c r="J275" t="s">
        <v>967</v>
      </c>
    </row>
    <row r="276" spans="1:10" x14ac:dyDescent="0.25">
      <c r="A276" t="s">
        <v>284</v>
      </c>
      <c r="B276" t="s">
        <v>558</v>
      </c>
      <c r="C276" t="s">
        <v>560</v>
      </c>
      <c r="D276" t="s">
        <v>562</v>
      </c>
      <c r="E276">
        <v>31089.22</v>
      </c>
      <c r="F276" s="1">
        <v>43776</v>
      </c>
      <c r="G276">
        <v>1</v>
      </c>
      <c r="H276" t="s">
        <v>684</v>
      </c>
      <c r="I276" t="s">
        <v>689</v>
      </c>
      <c r="J276" t="s">
        <v>968</v>
      </c>
    </row>
    <row r="277" spans="1:10" x14ac:dyDescent="0.25">
      <c r="A277" t="s">
        <v>285</v>
      </c>
      <c r="B277" t="s">
        <v>559</v>
      </c>
      <c r="C277" t="s">
        <v>561</v>
      </c>
      <c r="D277" t="s">
        <v>564</v>
      </c>
      <c r="E277">
        <v>78020.39</v>
      </c>
      <c r="F277" s="1">
        <v>43899</v>
      </c>
      <c r="G277">
        <v>1</v>
      </c>
      <c r="H277" t="s">
        <v>683</v>
      </c>
      <c r="I277" t="s">
        <v>688</v>
      </c>
      <c r="J277" t="s">
        <v>969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53D7E-5A26-4C81-8010-322C7E254BCE}">
  <dimension ref="A1:K261"/>
  <sheetViews>
    <sheetView workbookViewId="0">
      <selection activeCell="L15" sqref="L15"/>
    </sheetView>
  </sheetViews>
  <sheetFormatPr defaultRowHeight="15" x14ac:dyDescent="0.25"/>
  <cols>
    <col min="1" max="1" width="9.5703125" bestFit="1" customWidth="1"/>
    <col min="2" max="2" width="11.42578125" bestFit="1" customWidth="1"/>
    <col min="3" max="3" width="11.5703125" bestFit="1" customWidth="1"/>
    <col min="4" max="4" width="10" bestFit="1" customWidth="1"/>
    <col min="5" max="5" width="17.28515625" bestFit="1" customWidth="1"/>
    <col min="6" max="6" width="10" bestFit="1" customWidth="1"/>
    <col min="7" max="7" width="12" bestFit="1" customWidth="1"/>
    <col min="8" max="8" width="6.28515625" bestFit="1" customWidth="1"/>
    <col min="9" max="9" width="16.7109375" bestFit="1" customWidth="1"/>
    <col min="10" max="10" width="16.42578125" bestFit="1" customWidth="1"/>
    <col min="11" max="11" width="21.5703125" bestFit="1" customWidth="1"/>
  </cols>
  <sheetData>
    <row r="1" spans="1:11" x14ac:dyDescent="0.25">
      <c r="A1" t="s">
        <v>0</v>
      </c>
      <c r="B1" t="s">
        <v>970</v>
      </c>
      <c r="C1" t="s">
        <v>971</v>
      </c>
      <c r="D1" t="s">
        <v>2</v>
      </c>
      <c r="E1" t="s">
        <v>3</v>
      </c>
      <c r="F1" t="s">
        <v>4</v>
      </c>
      <c r="G1" t="s">
        <v>5</v>
      </c>
      <c r="H1" t="s">
        <v>6</v>
      </c>
      <c r="I1" t="s">
        <v>7</v>
      </c>
      <c r="J1" t="s">
        <v>8</v>
      </c>
      <c r="K1" t="s">
        <v>9</v>
      </c>
    </row>
    <row r="2" spans="1:11" x14ac:dyDescent="0.25">
      <c r="A2" t="s">
        <v>10</v>
      </c>
      <c r="B2" t="s">
        <v>972</v>
      </c>
      <c r="C2" t="s">
        <v>973</v>
      </c>
      <c r="D2" t="s">
        <v>560</v>
      </c>
      <c r="E2" t="s">
        <v>562</v>
      </c>
      <c r="F2">
        <v>120000</v>
      </c>
      <c r="G2" s="3">
        <v>43416</v>
      </c>
      <c r="H2">
        <v>1</v>
      </c>
      <c r="I2" t="s">
        <v>683</v>
      </c>
      <c r="J2" t="s">
        <v>686</v>
      </c>
      <c r="K2" s="20">
        <v>8168474201</v>
      </c>
    </row>
    <row r="3" spans="1:11" x14ac:dyDescent="0.25">
      <c r="A3" t="s">
        <v>11</v>
      </c>
      <c r="B3" t="s">
        <v>974</v>
      </c>
      <c r="C3" t="s">
        <v>975</v>
      </c>
      <c r="D3" t="s">
        <v>561</v>
      </c>
      <c r="E3" t="s">
        <v>563</v>
      </c>
      <c r="F3">
        <v>98000</v>
      </c>
      <c r="G3" s="3">
        <v>43710</v>
      </c>
      <c r="H3">
        <v>0.9</v>
      </c>
      <c r="I3" t="s">
        <v>683</v>
      </c>
      <c r="J3" t="s">
        <v>687</v>
      </c>
      <c r="K3" t="s">
        <v>976</v>
      </c>
    </row>
    <row r="4" spans="1:11" x14ac:dyDescent="0.25">
      <c r="A4" t="s">
        <v>12</v>
      </c>
      <c r="B4" t="s">
        <v>977</v>
      </c>
      <c r="C4" t="s">
        <v>978</v>
      </c>
      <c r="D4" t="s">
        <v>561</v>
      </c>
      <c r="E4" t="s">
        <v>564</v>
      </c>
      <c r="F4">
        <v>120000</v>
      </c>
      <c r="G4" s="3">
        <v>43902</v>
      </c>
      <c r="H4">
        <v>0.9</v>
      </c>
      <c r="I4" t="s">
        <v>683</v>
      </c>
      <c r="J4" t="s">
        <v>688</v>
      </c>
      <c r="K4" t="s">
        <v>979</v>
      </c>
    </row>
    <row r="5" spans="1:11" x14ac:dyDescent="0.25">
      <c r="A5" t="s">
        <v>13</v>
      </c>
      <c r="B5" t="s">
        <v>980</v>
      </c>
      <c r="C5" t="s">
        <v>981</v>
      </c>
      <c r="D5" t="s">
        <v>561</v>
      </c>
      <c r="E5" t="s">
        <v>565</v>
      </c>
      <c r="F5">
        <v>20000</v>
      </c>
      <c r="G5" s="3">
        <v>43164</v>
      </c>
      <c r="H5">
        <v>1</v>
      </c>
      <c r="I5" t="s">
        <v>684</v>
      </c>
      <c r="J5" t="s">
        <v>688</v>
      </c>
      <c r="K5" t="s">
        <v>697</v>
      </c>
    </row>
    <row r="6" spans="1:11" x14ac:dyDescent="0.25">
      <c r="A6" t="s">
        <v>14</v>
      </c>
      <c r="B6" t="s">
        <v>982</v>
      </c>
      <c r="C6" t="s">
        <v>983</v>
      </c>
      <c r="D6" t="s">
        <v>560</v>
      </c>
      <c r="E6" t="s">
        <v>566</v>
      </c>
      <c r="F6">
        <v>57002.02</v>
      </c>
      <c r="G6" s="3">
        <v>43192</v>
      </c>
      <c r="H6">
        <v>0.7</v>
      </c>
      <c r="I6" t="s">
        <v>683</v>
      </c>
      <c r="J6" t="s">
        <v>689</v>
      </c>
      <c r="K6" t="s">
        <v>984</v>
      </c>
    </row>
    <row r="7" spans="1:11" x14ac:dyDescent="0.25">
      <c r="A7" t="s">
        <v>15</v>
      </c>
      <c r="B7" t="s">
        <v>985</v>
      </c>
      <c r="C7" t="s">
        <v>986</v>
      </c>
      <c r="D7" t="s">
        <v>560</v>
      </c>
      <c r="E7" t="s">
        <v>562</v>
      </c>
      <c r="F7">
        <v>118976.16</v>
      </c>
      <c r="G7" s="3">
        <v>44120</v>
      </c>
      <c r="H7">
        <v>1</v>
      </c>
      <c r="I7" t="s">
        <v>683</v>
      </c>
      <c r="J7" t="s">
        <v>689</v>
      </c>
      <c r="K7" t="s">
        <v>987</v>
      </c>
    </row>
    <row r="8" spans="1:11" x14ac:dyDescent="0.25">
      <c r="A8" t="s">
        <v>16</v>
      </c>
      <c r="B8" t="s">
        <v>988</v>
      </c>
      <c r="C8" t="s">
        <v>989</v>
      </c>
      <c r="D8" t="s">
        <v>560</v>
      </c>
      <c r="E8" t="s">
        <v>563</v>
      </c>
      <c r="F8">
        <v>104802.63</v>
      </c>
      <c r="G8" s="3">
        <v>44502</v>
      </c>
      <c r="H8">
        <v>1</v>
      </c>
      <c r="I8" t="s">
        <v>683</v>
      </c>
      <c r="J8" t="s">
        <v>690</v>
      </c>
      <c r="K8" t="s">
        <v>700</v>
      </c>
    </row>
    <row r="9" spans="1:11" x14ac:dyDescent="0.25">
      <c r="A9" t="s">
        <v>17</v>
      </c>
      <c r="B9" t="s">
        <v>990</v>
      </c>
      <c r="C9" t="s">
        <v>991</v>
      </c>
      <c r="D9" t="s">
        <v>561</v>
      </c>
      <c r="E9" t="s">
        <v>563</v>
      </c>
      <c r="F9">
        <v>66017.179999999993</v>
      </c>
      <c r="G9" s="3">
        <v>43643</v>
      </c>
      <c r="H9">
        <v>0.9</v>
      </c>
      <c r="I9" t="s">
        <v>683</v>
      </c>
      <c r="J9" t="s">
        <v>688</v>
      </c>
      <c r="K9" t="s">
        <v>992</v>
      </c>
    </row>
    <row r="10" spans="1:11" x14ac:dyDescent="0.25">
      <c r="A10" t="s">
        <v>18</v>
      </c>
      <c r="B10" t="s">
        <v>993</v>
      </c>
      <c r="C10" t="s">
        <v>994</v>
      </c>
      <c r="D10" t="s">
        <v>561</v>
      </c>
      <c r="E10" t="s">
        <v>562</v>
      </c>
      <c r="F10">
        <v>74279.009999999995</v>
      </c>
      <c r="G10" s="3">
        <v>43466</v>
      </c>
      <c r="H10">
        <v>1</v>
      </c>
      <c r="I10" t="s">
        <v>683</v>
      </c>
      <c r="J10" t="s">
        <v>688</v>
      </c>
      <c r="K10" t="s">
        <v>995</v>
      </c>
    </row>
    <row r="11" spans="1:11" x14ac:dyDescent="0.25">
      <c r="A11" t="s">
        <v>19</v>
      </c>
      <c r="B11" t="s">
        <v>996</v>
      </c>
      <c r="C11" t="s">
        <v>997</v>
      </c>
      <c r="D11" t="s">
        <v>561</v>
      </c>
      <c r="E11" t="s">
        <v>565</v>
      </c>
      <c r="F11">
        <v>68980.52</v>
      </c>
      <c r="G11" s="3">
        <v>43494</v>
      </c>
      <c r="H11">
        <v>0.8</v>
      </c>
      <c r="I11" t="s">
        <v>683</v>
      </c>
      <c r="J11" t="s">
        <v>689</v>
      </c>
      <c r="K11" t="s">
        <v>703</v>
      </c>
    </row>
    <row r="12" spans="1:11" x14ac:dyDescent="0.25">
      <c r="A12" t="s">
        <v>20</v>
      </c>
      <c r="B12" t="s">
        <v>998</v>
      </c>
      <c r="C12" t="s">
        <v>999</v>
      </c>
      <c r="D12" t="s">
        <v>560</v>
      </c>
      <c r="E12" t="s">
        <v>567</v>
      </c>
      <c r="F12">
        <v>42314.39</v>
      </c>
      <c r="G12" s="3">
        <v>44487</v>
      </c>
      <c r="H12">
        <v>1</v>
      </c>
      <c r="I12" t="s">
        <v>684</v>
      </c>
      <c r="J12" t="s">
        <v>686</v>
      </c>
      <c r="K12" t="s">
        <v>1000</v>
      </c>
    </row>
    <row r="13" spans="1:11" x14ac:dyDescent="0.25">
      <c r="A13" t="s">
        <v>21</v>
      </c>
      <c r="B13" t="s">
        <v>1001</v>
      </c>
      <c r="C13" t="s">
        <v>1002</v>
      </c>
      <c r="D13" t="s">
        <v>560</v>
      </c>
      <c r="E13" t="s">
        <v>566</v>
      </c>
      <c r="F13">
        <v>114425.19</v>
      </c>
      <c r="G13" s="3">
        <v>43857</v>
      </c>
      <c r="H13">
        <v>1</v>
      </c>
      <c r="I13" t="s">
        <v>683</v>
      </c>
      <c r="J13" t="s">
        <v>691</v>
      </c>
      <c r="K13" t="s">
        <v>705</v>
      </c>
    </row>
    <row r="14" spans="1:11" x14ac:dyDescent="0.25">
      <c r="A14" t="s">
        <v>22</v>
      </c>
      <c r="B14" t="s">
        <v>1003</v>
      </c>
      <c r="C14" t="s">
        <v>1004</v>
      </c>
      <c r="D14" t="s">
        <v>561</v>
      </c>
      <c r="E14" t="s">
        <v>568</v>
      </c>
      <c r="F14">
        <v>69192.850000000006</v>
      </c>
      <c r="G14" s="3">
        <v>44305</v>
      </c>
      <c r="H14">
        <v>1</v>
      </c>
      <c r="I14" t="s">
        <v>683</v>
      </c>
      <c r="J14" t="s">
        <v>690</v>
      </c>
      <c r="K14" t="s">
        <v>1005</v>
      </c>
    </row>
    <row r="15" spans="1:11" x14ac:dyDescent="0.25">
      <c r="A15" t="s">
        <v>23</v>
      </c>
      <c r="B15" t="s">
        <v>1006</v>
      </c>
      <c r="C15" t="s">
        <v>1007</v>
      </c>
      <c r="D15" t="s">
        <v>561</v>
      </c>
      <c r="E15" t="s">
        <v>569</v>
      </c>
      <c r="F15">
        <v>61214.26</v>
      </c>
      <c r="G15" s="3">
        <v>43171</v>
      </c>
      <c r="H15">
        <v>1</v>
      </c>
      <c r="I15" t="s">
        <v>685</v>
      </c>
      <c r="J15" t="s">
        <v>690</v>
      </c>
      <c r="K15" t="s">
        <v>1008</v>
      </c>
    </row>
    <row r="16" spans="1:11" x14ac:dyDescent="0.25">
      <c r="A16" t="s">
        <v>24</v>
      </c>
      <c r="B16" t="s">
        <v>1009</v>
      </c>
      <c r="C16" t="s">
        <v>1010</v>
      </c>
      <c r="D16" t="s">
        <v>560</v>
      </c>
      <c r="E16" t="s">
        <v>563</v>
      </c>
      <c r="F16">
        <v>54137.05</v>
      </c>
      <c r="G16" s="3">
        <v>43763</v>
      </c>
      <c r="H16">
        <v>1</v>
      </c>
      <c r="I16" t="s">
        <v>683</v>
      </c>
      <c r="J16" t="s">
        <v>689</v>
      </c>
      <c r="K16" t="s">
        <v>1011</v>
      </c>
    </row>
    <row r="17" spans="1:11" x14ac:dyDescent="0.25">
      <c r="A17" t="s">
        <v>25</v>
      </c>
      <c r="B17" t="s">
        <v>1012</v>
      </c>
      <c r="C17" t="s">
        <v>1013</v>
      </c>
      <c r="D17" t="s">
        <v>561</v>
      </c>
      <c r="E17" t="s">
        <v>565</v>
      </c>
      <c r="F17">
        <v>37902.35</v>
      </c>
      <c r="G17" s="3">
        <v>43823</v>
      </c>
      <c r="H17">
        <v>1</v>
      </c>
      <c r="I17" t="s">
        <v>683</v>
      </c>
      <c r="J17" t="s">
        <v>686</v>
      </c>
      <c r="K17" t="s">
        <v>1014</v>
      </c>
    </row>
    <row r="18" spans="1:11" x14ac:dyDescent="0.25">
      <c r="A18" t="s">
        <v>26</v>
      </c>
      <c r="B18" t="s">
        <v>1015</v>
      </c>
      <c r="C18" t="s">
        <v>1016</v>
      </c>
      <c r="D18" t="s">
        <v>560</v>
      </c>
      <c r="E18" t="s">
        <v>563</v>
      </c>
      <c r="F18">
        <v>39969.72</v>
      </c>
      <c r="G18" s="3">
        <v>43444</v>
      </c>
      <c r="H18">
        <v>1</v>
      </c>
      <c r="I18" t="s">
        <v>685</v>
      </c>
      <c r="J18" t="s">
        <v>686</v>
      </c>
      <c r="K18" t="s">
        <v>1017</v>
      </c>
    </row>
    <row r="19" spans="1:11" x14ac:dyDescent="0.25">
      <c r="A19" t="s">
        <v>27</v>
      </c>
      <c r="B19" t="s">
        <v>1018</v>
      </c>
      <c r="C19" t="s">
        <v>1019</v>
      </c>
      <c r="D19" t="s">
        <v>561</v>
      </c>
      <c r="E19" t="s">
        <v>569</v>
      </c>
      <c r="F19">
        <v>69913.39</v>
      </c>
      <c r="G19" s="3">
        <v>43584</v>
      </c>
      <c r="H19">
        <v>1</v>
      </c>
      <c r="I19" t="s">
        <v>683</v>
      </c>
      <c r="J19" t="s">
        <v>689</v>
      </c>
      <c r="K19" t="s">
        <v>1020</v>
      </c>
    </row>
    <row r="20" spans="1:11" x14ac:dyDescent="0.25">
      <c r="A20" t="s">
        <v>28</v>
      </c>
      <c r="B20" t="s">
        <v>1009</v>
      </c>
      <c r="C20" t="s">
        <v>1021</v>
      </c>
      <c r="D20" t="s">
        <v>561</v>
      </c>
      <c r="E20" t="s">
        <v>563</v>
      </c>
      <c r="F20">
        <v>52748.63</v>
      </c>
      <c r="G20" s="3">
        <v>43857</v>
      </c>
      <c r="H20">
        <v>1</v>
      </c>
      <c r="I20" t="s">
        <v>683</v>
      </c>
      <c r="J20" t="s">
        <v>690</v>
      </c>
      <c r="K20" t="s">
        <v>1022</v>
      </c>
    </row>
    <row r="21" spans="1:11" x14ac:dyDescent="0.25">
      <c r="A21" t="s">
        <v>29</v>
      </c>
      <c r="B21" t="s">
        <v>974</v>
      </c>
      <c r="C21" t="s">
        <v>1023</v>
      </c>
      <c r="D21" t="s">
        <v>561</v>
      </c>
      <c r="E21" t="s">
        <v>567</v>
      </c>
      <c r="F21">
        <v>50310.09</v>
      </c>
      <c r="G21" s="3">
        <v>44285</v>
      </c>
      <c r="H21">
        <v>0.4</v>
      </c>
      <c r="I21" t="s">
        <v>683</v>
      </c>
      <c r="J21" t="s">
        <v>692</v>
      </c>
      <c r="K21" t="s">
        <v>1024</v>
      </c>
    </row>
    <row r="22" spans="1:11" x14ac:dyDescent="0.25">
      <c r="A22" t="s">
        <v>30</v>
      </c>
      <c r="B22" t="s">
        <v>1018</v>
      </c>
      <c r="C22" t="s">
        <v>1025</v>
      </c>
      <c r="D22" t="s">
        <v>560</v>
      </c>
      <c r="E22" t="s">
        <v>565</v>
      </c>
      <c r="F22">
        <v>52963.65</v>
      </c>
      <c r="G22" s="3">
        <v>44288</v>
      </c>
      <c r="H22">
        <v>0.3</v>
      </c>
      <c r="I22" t="s">
        <v>683</v>
      </c>
      <c r="J22" t="s">
        <v>691</v>
      </c>
      <c r="K22" t="s">
        <v>1026</v>
      </c>
    </row>
    <row r="23" spans="1:11" x14ac:dyDescent="0.25">
      <c r="A23" t="s">
        <v>31</v>
      </c>
      <c r="B23" t="s">
        <v>1027</v>
      </c>
      <c r="C23" t="s">
        <v>1028</v>
      </c>
      <c r="D23" t="s">
        <v>560</v>
      </c>
      <c r="E23" t="s">
        <v>569</v>
      </c>
      <c r="F23">
        <v>62195.47</v>
      </c>
      <c r="G23" s="3">
        <v>44434</v>
      </c>
      <c r="H23">
        <v>1</v>
      </c>
      <c r="I23" t="s">
        <v>683</v>
      </c>
      <c r="J23" t="s">
        <v>693</v>
      </c>
      <c r="K23" t="s">
        <v>1029</v>
      </c>
    </row>
    <row r="24" spans="1:11" x14ac:dyDescent="0.25">
      <c r="A24" t="s">
        <v>32</v>
      </c>
      <c r="B24" t="s">
        <v>1030</v>
      </c>
      <c r="C24" t="s">
        <v>1031</v>
      </c>
      <c r="D24" t="s">
        <v>561</v>
      </c>
      <c r="E24" t="s">
        <v>564</v>
      </c>
      <c r="F24">
        <v>43329.22</v>
      </c>
      <c r="G24" s="3">
        <v>43809</v>
      </c>
      <c r="H24">
        <v>0.5</v>
      </c>
      <c r="I24" t="s">
        <v>684</v>
      </c>
      <c r="J24" t="s">
        <v>692</v>
      </c>
      <c r="K24" t="s">
        <v>1032</v>
      </c>
    </row>
    <row r="25" spans="1:11" x14ac:dyDescent="0.25">
      <c r="A25" t="s">
        <v>33</v>
      </c>
      <c r="B25" t="s">
        <v>1033</v>
      </c>
      <c r="C25" t="s">
        <v>1034</v>
      </c>
      <c r="D25" t="s">
        <v>560</v>
      </c>
      <c r="E25" t="s">
        <v>564</v>
      </c>
      <c r="F25">
        <v>71570.990000000005</v>
      </c>
      <c r="G25" s="3">
        <v>44249</v>
      </c>
      <c r="H25">
        <v>0.5</v>
      </c>
      <c r="I25" t="s">
        <v>683</v>
      </c>
      <c r="J25" t="s">
        <v>693</v>
      </c>
      <c r="K25" t="s">
        <v>1035</v>
      </c>
    </row>
    <row r="26" spans="1:11" x14ac:dyDescent="0.25">
      <c r="A26" t="s">
        <v>34</v>
      </c>
      <c r="B26" t="s">
        <v>1018</v>
      </c>
      <c r="C26" t="s">
        <v>1036</v>
      </c>
      <c r="D26" t="s">
        <v>560</v>
      </c>
      <c r="E26" t="s">
        <v>563</v>
      </c>
      <c r="F26">
        <v>78840.23</v>
      </c>
      <c r="G26" s="3">
        <v>43633</v>
      </c>
      <c r="H26">
        <v>1</v>
      </c>
      <c r="I26" t="s">
        <v>685</v>
      </c>
      <c r="J26" t="s">
        <v>693</v>
      </c>
      <c r="K26" t="s">
        <v>1037</v>
      </c>
    </row>
    <row r="27" spans="1:11" x14ac:dyDescent="0.25">
      <c r="A27" t="s">
        <v>35</v>
      </c>
      <c r="B27" t="s">
        <v>1038</v>
      </c>
      <c r="C27" t="s">
        <v>1039</v>
      </c>
      <c r="D27" t="s">
        <v>561</v>
      </c>
      <c r="E27" t="s">
        <v>569</v>
      </c>
      <c r="F27">
        <v>61994.76</v>
      </c>
      <c r="G27" s="3">
        <v>43794</v>
      </c>
      <c r="H27">
        <v>0.3</v>
      </c>
      <c r="I27" t="s">
        <v>683</v>
      </c>
      <c r="J27" t="s">
        <v>693</v>
      </c>
      <c r="K27" t="s">
        <v>1040</v>
      </c>
    </row>
    <row r="28" spans="1:11" x14ac:dyDescent="0.25">
      <c r="A28" t="s">
        <v>36</v>
      </c>
      <c r="B28" t="s">
        <v>1041</v>
      </c>
      <c r="C28" t="s">
        <v>1042</v>
      </c>
      <c r="D28" t="s">
        <v>561</v>
      </c>
      <c r="E28" t="s">
        <v>562</v>
      </c>
      <c r="F28">
        <v>89690.38</v>
      </c>
      <c r="G28" s="3">
        <v>43206</v>
      </c>
      <c r="H28">
        <v>1</v>
      </c>
      <c r="I28" t="s">
        <v>683</v>
      </c>
      <c r="J28" t="s">
        <v>691</v>
      </c>
      <c r="K28" t="s">
        <v>720</v>
      </c>
    </row>
    <row r="29" spans="1:11" x14ac:dyDescent="0.25">
      <c r="A29" t="s">
        <v>37</v>
      </c>
      <c r="B29" t="s">
        <v>974</v>
      </c>
      <c r="C29" t="s">
        <v>1043</v>
      </c>
      <c r="D29" t="s">
        <v>561</v>
      </c>
      <c r="E29" t="s">
        <v>567</v>
      </c>
      <c r="F29">
        <v>104335.03999999999</v>
      </c>
      <c r="G29" s="3">
        <v>43874</v>
      </c>
      <c r="H29">
        <v>1</v>
      </c>
      <c r="I29" t="s">
        <v>683</v>
      </c>
      <c r="J29" t="s">
        <v>693</v>
      </c>
      <c r="K29" t="s">
        <v>721</v>
      </c>
    </row>
    <row r="30" spans="1:11" x14ac:dyDescent="0.25">
      <c r="A30" t="s">
        <v>38</v>
      </c>
      <c r="B30" t="s">
        <v>1044</v>
      </c>
      <c r="C30" t="s">
        <v>1045</v>
      </c>
      <c r="D30" t="s">
        <v>561</v>
      </c>
      <c r="E30" t="s">
        <v>567</v>
      </c>
      <c r="F30">
        <v>52246.29</v>
      </c>
      <c r="G30" s="3">
        <v>43573</v>
      </c>
      <c r="H30">
        <v>1</v>
      </c>
      <c r="I30" t="s">
        <v>685</v>
      </c>
      <c r="J30" t="s">
        <v>690</v>
      </c>
      <c r="K30" t="s">
        <v>722</v>
      </c>
    </row>
    <row r="31" spans="1:11" x14ac:dyDescent="0.25">
      <c r="A31" t="s">
        <v>39</v>
      </c>
      <c r="B31" t="s">
        <v>1046</v>
      </c>
      <c r="C31" t="s">
        <v>1047</v>
      </c>
      <c r="D31" t="s">
        <v>560</v>
      </c>
      <c r="E31" t="s">
        <v>567</v>
      </c>
      <c r="F31">
        <v>90697.67</v>
      </c>
      <c r="G31" s="3">
        <v>44221</v>
      </c>
      <c r="H31">
        <v>0.8</v>
      </c>
      <c r="I31" t="s">
        <v>683</v>
      </c>
      <c r="J31" t="s">
        <v>686</v>
      </c>
      <c r="K31" t="s">
        <v>1048</v>
      </c>
    </row>
    <row r="32" spans="1:11" x14ac:dyDescent="0.25">
      <c r="A32" t="s">
        <v>40</v>
      </c>
      <c r="B32" t="s">
        <v>1049</v>
      </c>
      <c r="C32" t="s">
        <v>1050</v>
      </c>
      <c r="D32" t="s">
        <v>560</v>
      </c>
      <c r="E32" t="s">
        <v>566</v>
      </c>
      <c r="F32">
        <v>90884.32</v>
      </c>
      <c r="G32" s="3">
        <v>43826</v>
      </c>
      <c r="H32">
        <v>1</v>
      </c>
      <c r="I32" t="s">
        <v>683</v>
      </c>
      <c r="J32" t="s">
        <v>687</v>
      </c>
      <c r="K32" t="s">
        <v>1051</v>
      </c>
    </row>
    <row r="33" spans="1:11" x14ac:dyDescent="0.25">
      <c r="A33" t="s">
        <v>41</v>
      </c>
      <c r="B33" t="s">
        <v>972</v>
      </c>
      <c r="C33" t="s">
        <v>1052</v>
      </c>
      <c r="D33" t="s">
        <v>560</v>
      </c>
      <c r="E33" t="s">
        <v>564</v>
      </c>
      <c r="F33">
        <v>76320.44</v>
      </c>
      <c r="G33" s="3">
        <v>44383</v>
      </c>
      <c r="H33">
        <v>0.8</v>
      </c>
      <c r="I33" t="s">
        <v>685</v>
      </c>
      <c r="J33" t="s">
        <v>686</v>
      </c>
      <c r="K33" t="s">
        <v>1053</v>
      </c>
    </row>
    <row r="34" spans="1:11" x14ac:dyDescent="0.25">
      <c r="A34" t="s">
        <v>42</v>
      </c>
      <c r="B34" t="s">
        <v>1054</v>
      </c>
      <c r="C34" t="s">
        <v>1055</v>
      </c>
      <c r="D34" t="s">
        <v>560</v>
      </c>
      <c r="E34" t="s">
        <v>564</v>
      </c>
      <c r="F34">
        <v>73360.38</v>
      </c>
      <c r="G34" s="3">
        <v>43972</v>
      </c>
      <c r="H34">
        <v>1</v>
      </c>
      <c r="I34" t="s">
        <v>685</v>
      </c>
      <c r="J34" t="s">
        <v>688</v>
      </c>
      <c r="K34" t="s">
        <v>1056</v>
      </c>
    </row>
    <row r="35" spans="1:11" x14ac:dyDescent="0.25">
      <c r="A35" t="s">
        <v>44</v>
      </c>
      <c r="B35" t="s">
        <v>1057</v>
      </c>
      <c r="C35" t="s">
        <v>1058</v>
      </c>
      <c r="D35" t="s">
        <v>560</v>
      </c>
      <c r="E35" t="s">
        <v>567</v>
      </c>
      <c r="F35">
        <v>50449.46</v>
      </c>
      <c r="G35" s="3">
        <v>43418</v>
      </c>
      <c r="H35">
        <v>0.8</v>
      </c>
      <c r="I35" t="s">
        <v>683</v>
      </c>
      <c r="J35" t="s">
        <v>689</v>
      </c>
      <c r="K35" t="s">
        <v>1059</v>
      </c>
    </row>
    <row r="36" spans="1:11" x14ac:dyDescent="0.25">
      <c r="A36" t="s">
        <v>45</v>
      </c>
      <c r="B36" t="s">
        <v>1060</v>
      </c>
      <c r="C36" t="s">
        <v>1061</v>
      </c>
      <c r="D36" t="s">
        <v>560</v>
      </c>
      <c r="E36" t="s">
        <v>569</v>
      </c>
      <c r="F36">
        <v>53949.26</v>
      </c>
      <c r="G36" s="3">
        <v>43808</v>
      </c>
      <c r="H36">
        <v>1</v>
      </c>
      <c r="I36" t="s">
        <v>685</v>
      </c>
      <c r="J36" t="s">
        <v>692</v>
      </c>
      <c r="K36" t="s">
        <v>1062</v>
      </c>
    </row>
    <row r="37" spans="1:11" x14ac:dyDescent="0.25">
      <c r="A37" t="s">
        <v>46</v>
      </c>
      <c r="B37" t="s">
        <v>1063</v>
      </c>
      <c r="C37" t="s">
        <v>1064</v>
      </c>
      <c r="D37" t="s">
        <v>560</v>
      </c>
      <c r="E37" t="s">
        <v>563</v>
      </c>
      <c r="F37">
        <v>113616.23</v>
      </c>
      <c r="G37" s="3">
        <v>43255</v>
      </c>
      <c r="H37">
        <v>1</v>
      </c>
      <c r="I37" t="s">
        <v>683</v>
      </c>
      <c r="J37" t="s">
        <v>690</v>
      </c>
      <c r="K37" t="s">
        <v>730</v>
      </c>
    </row>
    <row r="38" spans="1:11" x14ac:dyDescent="0.25">
      <c r="A38" t="s">
        <v>47</v>
      </c>
      <c r="B38" t="s">
        <v>1065</v>
      </c>
      <c r="C38" t="s">
        <v>1066</v>
      </c>
      <c r="D38" t="s">
        <v>560</v>
      </c>
      <c r="E38" t="s">
        <v>562</v>
      </c>
      <c r="F38">
        <v>110906.35</v>
      </c>
      <c r="G38" s="3">
        <v>43434</v>
      </c>
      <c r="H38">
        <v>1</v>
      </c>
      <c r="I38" t="s">
        <v>685</v>
      </c>
      <c r="J38" t="s">
        <v>687</v>
      </c>
      <c r="K38" t="s">
        <v>1067</v>
      </c>
    </row>
    <row r="39" spans="1:11" x14ac:dyDescent="0.25">
      <c r="A39" t="s">
        <v>48</v>
      </c>
      <c r="B39" t="s">
        <v>1068</v>
      </c>
      <c r="C39" t="s">
        <v>1069</v>
      </c>
      <c r="D39" t="s">
        <v>561</v>
      </c>
      <c r="E39" t="s">
        <v>567</v>
      </c>
      <c r="F39">
        <v>100371.31</v>
      </c>
      <c r="G39" s="3">
        <v>44067</v>
      </c>
      <c r="H39">
        <v>0.8</v>
      </c>
      <c r="I39" t="s">
        <v>684</v>
      </c>
      <c r="J39" t="s">
        <v>690</v>
      </c>
      <c r="K39" t="s">
        <v>732</v>
      </c>
    </row>
    <row r="40" spans="1:11" x14ac:dyDescent="0.25">
      <c r="A40" t="s">
        <v>49</v>
      </c>
      <c r="B40" t="s">
        <v>1070</v>
      </c>
      <c r="C40" t="s">
        <v>1071</v>
      </c>
      <c r="D40" t="s">
        <v>560</v>
      </c>
      <c r="E40" t="s">
        <v>563</v>
      </c>
      <c r="F40">
        <v>69163.39</v>
      </c>
      <c r="G40" s="3">
        <v>43397</v>
      </c>
      <c r="H40">
        <v>1</v>
      </c>
      <c r="I40" t="s">
        <v>683</v>
      </c>
      <c r="J40" t="s">
        <v>689</v>
      </c>
      <c r="K40" t="s">
        <v>1072</v>
      </c>
    </row>
    <row r="41" spans="1:11" x14ac:dyDescent="0.25">
      <c r="A41" t="s">
        <v>50</v>
      </c>
      <c r="B41" t="s">
        <v>1073</v>
      </c>
      <c r="C41" t="s">
        <v>1074</v>
      </c>
      <c r="D41" t="s">
        <v>560</v>
      </c>
      <c r="E41" t="s">
        <v>565</v>
      </c>
      <c r="F41">
        <v>114691.03</v>
      </c>
      <c r="G41" s="3">
        <v>44039</v>
      </c>
      <c r="H41">
        <v>1</v>
      </c>
      <c r="I41" t="s">
        <v>685</v>
      </c>
      <c r="J41" t="s">
        <v>693</v>
      </c>
      <c r="K41" t="s">
        <v>734</v>
      </c>
    </row>
    <row r="42" spans="1:11" x14ac:dyDescent="0.25">
      <c r="A42" t="s">
        <v>51</v>
      </c>
      <c r="B42" t="s">
        <v>1075</v>
      </c>
      <c r="C42" t="s">
        <v>1076</v>
      </c>
      <c r="D42" t="s">
        <v>560</v>
      </c>
      <c r="E42" t="s">
        <v>567</v>
      </c>
      <c r="F42">
        <v>86556.96</v>
      </c>
      <c r="G42" s="3">
        <v>44104</v>
      </c>
      <c r="H42">
        <v>1</v>
      </c>
      <c r="I42" t="s">
        <v>683</v>
      </c>
      <c r="J42" t="s">
        <v>689</v>
      </c>
      <c r="K42" t="s">
        <v>735</v>
      </c>
    </row>
    <row r="43" spans="1:11" x14ac:dyDescent="0.25">
      <c r="A43" t="s">
        <v>52</v>
      </c>
      <c r="B43" t="s">
        <v>1077</v>
      </c>
      <c r="C43" t="s">
        <v>1078</v>
      </c>
      <c r="D43" t="s">
        <v>561</v>
      </c>
      <c r="E43" t="s">
        <v>569</v>
      </c>
      <c r="F43">
        <v>31172.77</v>
      </c>
      <c r="G43" s="3">
        <v>43665</v>
      </c>
      <c r="H43">
        <v>1</v>
      </c>
      <c r="I43" t="s">
        <v>684</v>
      </c>
      <c r="J43" t="s">
        <v>692</v>
      </c>
      <c r="K43" t="s">
        <v>1079</v>
      </c>
    </row>
    <row r="44" spans="1:11" x14ac:dyDescent="0.25">
      <c r="A44" t="s">
        <v>53</v>
      </c>
      <c r="B44" t="s">
        <v>1080</v>
      </c>
      <c r="C44" t="s">
        <v>1081</v>
      </c>
      <c r="D44" t="s">
        <v>560</v>
      </c>
      <c r="E44" t="s">
        <v>562</v>
      </c>
      <c r="F44">
        <v>80169.42</v>
      </c>
      <c r="G44" s="3">
        <v>44053</v>
      </c>
      <c r="H44">
        <v>1</v>
      </c>
      <c r="I44" t="s">
        <v>683</v>
      </c>
      <c r="J44" t="s">
        <v>690</v>
      </c>
      <c r="K44" t="s">
        <v>1082</v>
      </c>
    </row>
    <row r="45" spans="1:11" x14ac:dyDescent="0.25">
      <c r="A45" t="s">
        <v>54</v>
      </c>
      <c r="B45" t="s">
        <v>1057</v>
      </c>
      <c r="C45" t="s">
        <v>1050</v>
      </c>
      <c r="D45" t="s">
        <v>561</v>
      </c>
      <c r="E45" t="s">
        <v>567</v>
      </c>
      <c r="F45">
        <v>53949.26</v>
      </c>
      <c r="G45" s="3">
        <v>43808</v>
      </c>
      <c r="H45">
        <v>1</v>
      </c>
      <c r="I45" t="s">
        <v>685</v>
      </c>
      <c r="J45" t="s">
        <v>686</v>
      </c>
      <c r="K45" t="s">
        <v>738</v>
      </c>
    </row>
    <row r="46" spans="1:11" x14ac:dyDescent="0.25">
      <c r="A46" t="s">
        <v>55</v>
      </c>
      <c r="B46" t="s">
        <v>1083</v>
      </c>
      <c r="C46" t="s">
        <v>1050</v>
      </c>
      <c r="D46" t="s">
        <v>560</v>
      </c>
      <c r="E46" t="s">
        <v>565</v>
      </c>
      <c r="F46">
        <v>58935.92</v>
      </c>
      <c r="G46" s="3">
        <v>43717</v>
      </c>
      <c r="H46">
        <v>1</v>
      </c>
      <c r="I46" t="s">
        <v>685</v>
      </c>
      <c r="J46" t="s">
        <v>693</v>
      </c>
      <c r="K46" t="s">
        <v>1084</v>
      </c>
    </row>
    <row r="47" spans="1:11" x14ac:dyDescent="0.25">
      <c r="A47" t="s">
        <v>56</v>
      </c>
      <c r="B47" t="s">
        <v>977</v>
      </c>
      <c r="C47" t="s">
        <v>1085</v>
      </c>
      <c r="D47" t="s">
        <v>560</v>
      </c>
      <c r="E47" t="s">
        <v>569</v>
      </c>
      <c r="F47">
        <v>63555.73</v>
      </c>
      <c r="G47" s="3">
        <v>44159</v>
      </c>
      <c r="H47">
        <v>1</v>
      </c>
      <c r="I47" t="s">
        <v>683</v>
      </c>
      <c r="J47" t="s">
        <v>687</v>
      </c>
      <c r="K47" t="s">
        <v>740</v>
      </c>
    </row>
    <row r="48" spans="1:11" x14ac:dyDescent="0.25">
      <c r="A48" t="s">
        <v>57</v>
      </c>
      <c r="B48" t="s">
        <v>1086</v>
      </c>
      <c r="C48" t="s">
        <v>1087</v>
      </c>
      <c r="D48" t="s">
        <v>561</v>
      </c>
      <c r="E48" t="s">
        <v>569</v>
      </c>
      <c r="F48">
        <v>57419.35</v>
      </c>
      <c r="G48" s="3">
        <v>43305</v>
      </c>
      <c r="H48">
        <v>1</v>
      </c>
      <c r="I48" t="s">
        <v>684</v>
      </c>
      <c r="J48" t="s">
        <v>689</v>
      </c>
      <c r="K48" t="s">
        <v>1088</v>
      </c>
    </row>
    <row r="49" spans="1:11" x14ac:dyDescent="0.25">
      <c r="A49" t="s">
        <v>58</v>
      </c>
      <c r="B49" t="s">
        <v>1089</v>
      </c>
      <c r="C49" t="s">
        <v>994</v>
      </c>
      <c r="D49" t="s">
        <v>561</v>
      </c>
      <c r="E49" t="s">
        <v>562</v>
      </c>
      <c r="F49">
        <v>67818.14</v>
      </c>
      <c r="G49" s="3">
        <v>43406</v>
      </c>
      <c r="H49">
        <v>0.6</v>
      </c>
      <c r="I49" t="s">
        <v>684</v>
      </c>
      <c r="J49" t="s">
        <v>691</v>
      </c>
      <c r="K49" t="s">
        <v>742</v>
      </c>
    </row>
    <row r="50" spans="1:11" x14ac:dyDescent="0.25">
      <c r="A50" t="s">
        <v>59</v>
      </c>
      <c r="B50" t="s">
        <v>1090</v>
      </c>
      <c r="C50" t="s">
        <v>1091</v>
      </c>
      <c r="D50" t="s">
        <v>561</v>
      </c>
      <c r="E50" t="s">
        <v>568</v>
      </c>
      <c r="F50">
        <v>44403.77</v>
      </c>
      <c r="G50" s="3">
        <v>43416</v>
      </c>
      <c r="H50">
        <v>1</v>
      </c>
      <c r="I50" t="s">
        <v>683</v>
      </c>
      <c r="J50" t="s">
        <v>690</v>
      </c>
      <c r="K50" t="s">
        <v>1092</v>
      </c>
    </row>
    <row r="51" spans="1:11" x14ac:dyDescent="0.25">
      <c r="A51" t="s">
        <v>60</v>
      </c>
      <c r="B51" t="s">
        <v>1093</v>
      </c>
      <c r="C51" t="s">
        <v>1094</v>
      </c>
      <c r="D51" t="s">
        <v>561</v>
      </c>
      <c r="E51" t="s">
        <v>568</v>
      </c>
      <c r="F51">
        <v>40753.54</v>
      </c>
      <c r="G51" s="3">
        <v>43152</v>
      </c>
      <c r="H51">
        <v>0.6</v>
      </c>
      <c r="I51" t="s">
        <v>683</v>
      </c>
      <c r="J51" t="s">
        <v>692</v>
      </c>
      <c r="K51" t="s">
        <v>744</v>
      </c>
    </row>
    <row r="52" spans="1:11" x14ac:dyDescent="0.25">
      <c r="A52" t="s">
        <v>61</v>
      </c>
      <c r="B52" t="s">
        <v>1095</v>
      </c>
      <c r="C52" t="s">
        <v>1096</v>
      </c>
      <c r="D52" t="s">
        <v>561</v>
      </c>
      <c r="E52" t="s">
        <v>562</v>
      </c>
      <c r="F52">
        <v>102934.09</v>
      </c>
      <c r="G52" s="3">
        <v>44315</v>
      </c>
      <c r="H52">
        <v>1</v>
      </c>
      <c r="I52" t="s">
        <v>683</v>
      </c>
      <c r="J52" t="s">
        <v>691</v>
      </c>
      <c r="K52" t="s">
        <v>1097</v>
      </c>
    </row>
    <row r="53" spans="1:11" x14ac:dyDescent="0.25">
      <c r="A53" t="s">
        <v>62</v>
      </c>
      <c r="B53" t="s">
        <v>1098</v>
      </c>
      <c r="C53" t="s">
        <v>1099</v>
      </c>
      <c r="D53" t="s">
        <v>561</v>
      </c>
      <c r="E53" t="s">
        <v>566</v>
      </c>
      <c r="F53">
        <v>68860.399999999994</v>
      </c>
      <c r="G53" s="3">
        <v>43508</v>
      </c>
      <c r="H53">
        <v>0.4</v>
      </c>
      <c r="I53" t="s">
        <v>683</v>
      </c>
      <c r="J53" t="s">
        <v>691</v>
      </c>
      <c r="K53" t="s">
        <v>1100</v>
      </c>
    </row>
    <row r="54" spans="1:11" x14ac:dyDescent="0.25">
      <c r="A54" t="s">
        <v>63</v>
      </c>
      <c r="B54" t="s">
        <v>1101</v>
      </c>
      <c r="C54" t="s">
        <v>1102</v>
      </c>
      <c r="D54" t="s">
        <v>560</v>
      </c>
      <c r="E54" t="s">
        <v>564</v>
      </c>
      <c r="F54">
        <v>79567.69</v>
      </c>
      <c r="G54" s="3">
        <v>43272</v>
      </c>
      <c r="H54">
        <v>1</v>
      </c>
      <c r="I54" t="s">
        <v>684</v>
      </c>
      <c r="J54" t="s">
        <v>688</v>
      </c>
      <c r="K54" t="s">
        <v>1103</v>
      </c>
    </row>
    <row r="55" spans="1:11" x14ac:dyDescent="0.25">
      <c r="A55" t="s">
        <v>64</v>
      </c>
      <c r="B55" t="s">
        <v>1104</v>
      </c>
      <c r="C55" t="s">
        <v>999</v>
      </c>
      <c r="D55" t="s">
        <v>561</v>
      </c>
      <c r="E55" t="s">
        <v>567</v>
      </c>
      <c r="F55">
        <v>35943.620000000003</v>
      </c>
      <c r="G55" s="3">
        <v>44078</v>
      </c>
      <c r="H55">
        <v>1</v>
      </c>
      <c r="I55" t="s">
        <v>683</v>
      </c>
      <c r="J55" t="s">
        <v>688</v>
      </c>
      <c r="K55" t="s">
        <v>1105</v>
      </c>
    </row>
    <row r="56" spans="1:11" x14ac:dyDescent="0.25">
      <c r="A56" t="s">
        <v>65</v>
      </c>
      <c r="B56" t="s">
        <v>1106</v>
      </c>
      <c r="C56" t="s">
        <v>1107</v>
      </c>
      <c r="D56" t="s">
        <v>561</v>
      </c>
      <c r="E56" t="s">
        <v>567</v>
      </c>
      <c r="F56">
        <v>116767.63</v>
      </c>
      <c r="G56" s="3">
        <v>43949</v>
      </c>
      <c r="H56">
        <v>0.4</v>
      </c>
      <c r="I56" t="s">
        <v>685</v>
      </c>
      <c r="J56" t="s">
        <v>691</v>
      </c>
      <c r="K56" t="s">
        <v>749</v>
      </c>
    </row>
    <row r="57" spans="1:11" x14ac:dyDescent="0.25">
      <c r="A57" t="s">
        <v>66</v>
      </c>
      <c r="B57" t="s">
        <v>1086</v>
      </c>
      <c r="C57" t="s">
        <v>1108</v>
      </c>
      <c r="D57" t="s">
        <v>560</v>
      </c>
      <c r="E57" t="s">
        <v>565</v>
      </c>
      <c r="F57">
        <v>85455.53</v>
      </c>
      <c r="G57" s="3">
        <v>43839</v>
      </c>
      <c r="H57">
        <v>1</v>
      </c>
      <c r="I57" t="s">
        <v>683</v>
      </c>
      <c r="J57" t="s">
        <v>693</v>
      </c>
      <c r="K57" t="s">
        <v>1109</v>
      </c>
    </row>
    <row r="58" spans="1:11" x14ac:dyDescent="0.25">
      <c r="A58" t="s">
        <v>67</v>
      </c>
      <c r="B58" t="s">
        <v>990</v>
      </c>
      <c r="C58" t="s">
        <v>1110</v>
      </c>
      <c r="D58" t="s">
        <v>561</v>
      </c>
      <c r="E58" t="s">
        <v>567</v>
      </c>
      <c r="F58">
        <v>39700.82</v>
      </c>
      <c r="G58" s="3">
        <v>44203</v>
      </c>
      <c r="H58">
        <v>0.8</v>
      </c>
      <c r="I58" t="s">
        <v>683</v>
      </c>
      <c r="J58" t="s">
        <v>692</v>
      </c>
      <c r="K58" t="s">
        <v>751</v>
      </c>
    </row>
    <row r="59" spans="1:11" x14ac:dyDescent="0.25">
      <c r="A59" t="s">
        <v>68</v>
      </c>
      <c r="B59" t="s">
        <v>1111</v>
      </c>
      <c r="C59" t="s">
        <v>1091</v>
      </c>
      <c r="D59" t="s">
        <v>561</v>
      </c>
      <c r="E59" t="s">
        <v>565</v>
      </c>
      <c r="F59">
        <v>38438.239999999998</v>
      </c>
      <c r="G59" s="3">
        <v>43962</v>
      </c>
      <c r="H59">
        <v>1</v>
      </c>
      <c r="I59" t="s">
        <v>683</v>
      </c>
      <c r="J59" t="s">
        <v>687</v>
      </c>
      <c r="K59" t="s">
        <v>752</v>
      </c>
    </row>
    <row r="60" spans="1:11" x14ac:dyDescent="0.25">
      <c r="A60" t="s">
        <v>69</v>
      </c>
      <c r="B60" t="s">
        <v>1043</v>
      </c>
      <c r="C60" t="s">
        <v>1112</v>
      </c>
      <c r="D60" t="s">
        <v>561</v>
      </c>
      <c r="E60" t="s">
        <v>567</v>
      </c>
      <c r="F60">
        <v>50855.53</v>
      </c>
      <c r="G60" s="3">
        <v>44221</v>
      </c>
      <c r="H60">
        <v>1</v>
      </c>
      <c r="I60" t="s">
        <v>683</v>
      </c>
      <c r="J60" t="s">
        <v>692</v>
      </c>
      <c r="K60" t="s">
        <v>1113</v>
      </c>
    </row>
    <row r="61" spans="1:11" x14ac:dyDescent="0.25">
      <c r="A61" t="s">
        <v>71</v>
      </c>
      <c r="B61" t="s">
        <v>990</v>
      </c>
      <c r="C61" t="s">
        <v>1114</v>
      </c>
      <c r="D61" t="s">
        <v>560</v>
      </c>
      <c r="E61" t="s">
        <v>565</v>
      </c>
      <c r="F61">
        <v>37362.300000000003</v>
      </c>
      <c r="G61" s="3">
        <v>43642</v>
      </c>
      <c r="H61">
        <v>1</v>
      </c>
      <c r="I61" t="s">
        <v>683</v>
      </c>
      <c r="J61" t="s">
        <v>692</v>
      </c>
      <c r="K61" t="s">
        <v>1115</v>
      </c>
    </row>
    <row r="62" spans="1:11" x14ac:dyDescent="0.25">
      <c r="A62" t="s">
        <v>72</v>
      </c>
      <c r="B62" t="s">
        <v>1116</v>
      </c>
      <c r="C62" t="s">
        <v>1076</v>
      </c>
      <c r="D62" t="s">
        <v>560</v>
      </c>
      <c r="E62" t="s">
        <v>565</v>
      </c>
      <c r="F62">
        <v>72876.91</v>
      </c>
      <c r="G62" s="3">
        <v>43612</v>
      </c>
      <c r="H62">
        <v>0.4</v>
      </c>
      <c r="I62" t="s">
        <v>684</v>
      </c>
      <c r="J62" t="s">
        <v>686</v>
      </c>
      <c r="K62" t="s">
        <v>1117</v>
      </c>
    </row>
    <row r="63" spans="1:11" x14ac:dyDescent="0.25">
      <c r="A63" t="s">
        <v>73</v>
      </c>
      <c r="B63" t="s">
        <v>990</v>
      </c>
      <c r="C63" t="s">
        <v>1118</v>
      </c>
      <c r="D63" t="s">
        <v>560</v>
      </c>
      <c r="E63" t="s">
        <v>562</v>
      </c>
      <c r="F63">
        <v>31042.51</v>
      </c>
      <c r="G63" s="3">
        <v>44473</v>
      </c>
      <c r="H63">
        <v>0.3</v>
      </c>
      <c r="I63" t="s">
        <v>684</v>
      </c>
      <c r="J63" t="s">
        <v>693</v>
      </c>
      <c r="K63" t="s">
        <v>757</v>
      </c>
    </row>
    <row r="64" spans="1:11" x14ac:dyDescent="0.25">
      <c r="A64" t="s">
        <v>74</v>
      </c>
      <c r="B64" t="s">
        <v>1119</v>
      </c>
      <c r="C64" t="s">
        <v>1120</v>
      </c>
      <c r="D64" t="s">
        <v>560</v>
      </c>
      <c r="E64" t="s">
        <v>565</v>
      </c>
      <c r="F64">
        <v>63705.4</v>
      </c>
      <c r="G64" s="3">
        <v>43682</v>
      </c>
      <c r="H64">
        <v>1</v>
      </c>
      <c r="I64" t="s">
        <v>683</v>
      </c>
      <c r="J64" t="s">
        <v>688</v>
      </c>
      <c r="K64" t="s">
        <v>1121</v>
      </c>
    </row>
    <row r="65" spans="1:11" x14ac:dyDescent="0.25">
      <c r="A65" t="s">
        <v>75</v>
      </c>
      <c r="B65" t="s">
        <v>1041</v>
      </c>
      <c r="C65" t="s">
        <v>1021</v>
      </c>
      <c r="D65" t="s">
        <v>560</v>
      </c>
      <c r="E65" t="s">
        <v>562</v>
      </c>
      <c r="F65">
        <v>59434.18</v>
      </c>
      <c r="G65" s="3">
        <v>43931</v>
      </c>
      <c r="H65">
        <v>1</v>
      </c>
      <c r="I65" t="s">
        <v>685</v>
      </c>
      <c r="J65" t="s">
        <v>688</v>
      </c>
      <c r="K65" t="s">
        <v>1122</v>
      </c>
    </row>
    <row r="66" spans="1:11" x14ac:dyDescent="0.25">
      <c r="A66" t="s">
        <v>76</v>
      </c>
      <c r="B66" t="s">
        <v>990</v>
      </c>
      <c r="C66" t="s">
        <v>994</v>
      </c>
      <c r="D66" t="s">
        <v>560</v>
      </c>
      <c r="E66" t="s">
        <v>565</v>
      </c>
      <c r="F66">
        <v>84762.76</v>
      </c>
      <c r="G66" s="3">
        <v>43332</v>
      </c>
      <c r="H66">
        <v>1</v>
      </c>
      <c r="I66" t="s">
        <v>683</v>
      </c>
      <c r="J66" t="s">
        <v>693</v>
      </c>
      <c r="K66" t="s">
        <v>1123</v>
      </c>
    </row>
    <row r="67" spans="1:11" x14ac:dyDescent="0.25">
      <c r="A67" t="s">
        <v>77</v>
      </c>
      <c r="B67" t="s">
        <v>1124</v>
      </c>
      <c r="C67" t="s">
        <v>1125</v>
      </c>
      <c r="D67" t="s">
        <v>560</v>
      </c>
      <c r="E67" t="s">
        <v>568</v>
      </c>
      <c r="F67">
        <v>69057.320000000007</v>
      </c>
      <c r="G67" s="3">
        <v>43390</v>
      </c>
      <c r="H67">
        <v>1</v>
      </c>
      <c r="I67" t="s">
        <v>683</v>
      </c>
      <c r="J67" t="s">
        <v>692</v>
      </c>
      <c r="K67" t="s">
        <v>1126</v>
      </c>
    </row>
    <row r="68" spans="1:11" x14ac:dyDescent="0.25">
      <c r="A68" t="s">
        <v>78</v>
      </c>
      <c r="B68" t="s">
        <v>1027</v>
      </c>
      <c r="C68" t="s">
        <v>1127</v>
      </c>
      <c r="D68" t="s">
        <v>561</v>
      </c>
      <c r="E68" t="s">
        <v>569</v>
      </c>
      <c r="F68">
        <v>99448.78</v>
      </c>
      <c r="G68" s="3">
        <v>43473</v>
      </c>
      <c r="H68">
        <v>1</v>
      </c>
      <c r="I68" t="s">
        <v>684</v>
      </c>
      <c r="J68" t="s">
        <v>690</v>
      </c>
      <c r="K68" t="s">
        <v>1128</v>
      </c>
    </row>
    <row r="69" spans="1:11" x14ac:dyDescent="0.25">
      <c r="A69" t="s">
        <v>79</v>
      </c>
      <c r="B69" t="s">
        <v>1129</v>
      </c>
      <c r="C69" t="s">
        <v>1130</v>
      </c>
      <c r="D69" t="s">
        <v>561</v>
      </c>
      <c r="E69" t="s">
        <v>567</v>
      </c>
      <c r="F69">
        <v>66865.490000000005</v>
      </c>
      <c r="G69" s="3">
        <v>43514</v>
      </c>
      <c r="H69">
        <v>1</v>
      </c>
      <c r="I69" t="s">
        <v>683</v>
      </c>
      <c r="J69" t="s">
        <v>686</v>
      </c>
      <c r="K69" t="s">
        <v>763</v>
      </c>
    </row>
    <row r="70" spans="1:11" x14ac:dyDescent="0.25">
      <c r="A70" t="s">
        <v>80</v>
      </c>
      <c r="B70" t="s">
        <v>996</v>
      </c>
      <c r="C70" t="s">
        <v>1045</v>
      </c>
      <c r="D70" t="s">
        <v>561</v>
      </c>
      <c r="E70" t="s">
        <v>567</v>
      </c>
      <c r="F70">
        <v>113747.56</v>
      </c>
      <c r="G70" s="3">
        <v>44270</v>
      </c>
      <c r="H70">
        <v>0.7</v>
      </c>
      <c r="I70" t="s">
        <v>685</v>
      </c>
      <c r="J70" t="s">
        <v>693</v>
      </c>
      <c r="K70" t="s">
        <v>1131</v>
      </c>
    </row>
    <row r="71" spans="1:11" x14ac:dyDescent="0.25">
      <c r="A71" t="s">
        <v>81</v>
      </c>
      <c r="B71" t="s">
        <v>1132</v>
      </c>
      <c r="C71" t="s">
        <v>1133</v>
      </c>
      <c r="D71" t="s">
        <v>561</v>
      </c>
      <c r="E71" t="s">
        <v>565</v>
      </c>
      <c r="F71">
        <v>85918.61</v>
      </c>
      <c r="G71" s="3">
        <v>43136</v>
      </c>
      <c r="H71">
        <v>1</v>
      </c>
      <c r="I71" t="s">
        <v>683</v>
      </c>
      <c r="J71" t="s">
        <v>692</v>
      </c>
      <c r="K71" t="s">
        <v>765</v>
      </c>
    </row>
    <row r="72" spans="1:11" x14ac:dyDescent="0.25">
      <c r="A72" t="s">
        <v>82</v>
      </c>
      <c r="B72" t="s">
        <v>1134</v>
      </c>
      <c r="C72" t="s">
        <v>1135</v>
      </c>
      <c r="D72" t="s">
        <v>561</v>
      </c>
      <c r="E72" t="s">
        <v>562</v>
      </c>
      <c r="F72">
        <v>51165.37</v>
      </c>
      <c r="G72" s="3">
        <v>44237</v>
      </c>
      <c r="H72">
        <v>1</v>
      </c>
      <c r="I72" t="s">
        <v>684</v>
      </c>
      <c r="J72" t="s">
        <v>688</v>
      </c>
      <c r="K72" t="s">
        <v>1136</v>
      </c>
    </row>
    <row r="73" spans="1:11" x14ac:dyDescent="0.25">
      <c r="A73" t="s">
        <v>84</v>
      </c>
      <c r="B73" t="s">
        <v>1137</v>
      </c>
      <c r="C73" t="s">
        <v>1138</v>
      </c>
      <c r="D73" t="s">
        <v>561</v>
      </c>
      <c r="E73" t="s">
        <v>567</v>
      </c>
      <c r="F73">
        <v>67957.899999999994</v>
      </c>
      <c r="G73" s="3">
        <v>43430</v>
      </c>
      <c r="H73">
        <v>1</v>
      </c>
      <c r="I73" t="s">
        <v>683</v>
      </c>
      <c r="J73" t="s">
        <v>686</v>
      </c>
      <c r="K73" t="s">
        <v>1139</v>
      </c>
    </row>
    <row r="74" spans="1:11" x14ac:dyDescent="0.25">
      <c r="A74" t="s">
        <v>85</v>
      </c>
      <c r="B74" t="s">
        <v>1140</v>
      </c>
      <c r="C74" t="s">
        <v>1138</v>
      </c>
      <c r="D74" t="s">
        <v>560</v>
      </c>
      <c r="E74" t="s">
        <v>568</v>
      </c>
      <c r="F74">
        <v>114465.93</v>
      </c>
      <c r="G74" s="3">
        <v>43291</v>
      </c>
      <c r="H74">
        <v>1</v>
      </c>
      <c r="I74" t="s">
        <v>685</v>
      </c>
      <c r="J74" t="s">
        <v>687</v>
      </c>
      <c r="K74" t="s">
        <v>769</v>
      </c>
    </row>
    <row r="75" spans="1:11" x14ac:dyDescent="0.25">
      <c r="A75" t="s">
        <v>86</v>
      </c>
      <c r="B75" t="s">
        <v>1141</v>
      </c>
      <c r="C75" t="s">
        <v>1007</v>
      </c>
      <c r="D75" t="s">
        <v>560</v>
      </c>
      <c r="E75" t="s">
        <v>563</v>
      </c>
      <c r="F75">
        <v>65699.02</v>
      </c>
      <c r="G75" s="3">
        <v>43951</v>
      </c>
      <c r="H75">
        <v>1</v>
      </c>
      <c r="I75" t="s">
        <v>683</v>
      </c>
      <c r="J75" t="s">
        <v>687</v>
      </c>
      <c r="K75" t="s">
        <v>770</v>
      </c>
    </row>
    <row r="76" spans="1:11" x14ac:dyDescent="0.25">
      <c r="A76" t="s">
        <v>87</v>
      </c>
      <c r="B76" t="s">
        <v>1142</v>
      </c>
      <c r="C76" t="s">
        <v>1143</v>
      </c>
      <c r="D76" t="s">
        <v>560</v>
      </c>
      <c r="E76" t="s">
        <v>567</v>
      </c>
      <c r="F76">
        <v>83191.95</v>
      </c>
      <c r="G76" s="3">
        <v>43700</v>
      </c>
      <c r="H76">
        <v>0.6</v>
      </c>
      <c r="I76" t="s">
        <v>685</v>
      </c>
      <c r="J76" t="s">
        <v>690</v>
      </c>
      <c r="K76" t="s">
        <v>1144</v>
      </c>
    </row>
    <row r="77" spans="1:11" x14ac:dyDescent="0.25">
      <c r="A77" t="s">
        <v>88</v>
      </c>
      <c r="B77" t="s">
        <v>1145</v>
      </c>
      <c r="C77" t="s">
        <v>1146</v>
      </c>
      <c r="D77" t="s">
        <v>560</v>
      </c>
      <c r="E77" t="s">
        <v>565</v>
      </c>
      <c r="F77">
        <v>106775.14</v>
      </c>
      <c r="G77" s="3">
        <v>43563</v>
      </c>
      <c r="H77">
        <v>1</v>
      </c>
      <c r="I77" t="s">
        <v>684</v>
      </c>
      <c r="J77" t="s">
        <v>690</v>
      </c>
      <c r="K77" t="s">
        <v>772</v>
      </c>
    </row>
    <row r="78" spans="1:11" x14ac:dyDescent="0.25">
      <c r="A78" t="s">
        <v>89</v>
      </c>
      <c r="B78" t="s">
        <v>1147</v>
      </c>
      <c r="C78" t="s">
        <v>1060</v>
      </c>
      <c r="D78" t="s">
        <v>561</v>
      </c>
      <c r="E78" t="s">
        <v>569</v>
      </c>
      <c r="F78">
        <v>83396.5</v>
      </c>
      <c r="G78" s="3">
        <v>44285</v>
      </c>
      <c r="H78">
        <v>1</v>
      </c>
      <c r="I78" t="s">
        <v>685</v>
      </c>
      <c r="J78" t="s">
        <v>690</v>
      </c>
      <c r="K78" t="s">
        <v>1148</v>
      </c>
    </row>
    <row r="79" spans="1:11" x14ac:dyDescent="0.25">
      <c r="A79" t="s">
        <v>90</v>
      </c>
      <c r="B79" t="s">
        <v>1149</v>
      </c>
      <c r="C79" t="s">
        <v>1150</v>
      </c>
      <c r="D79" t="s">
        <v>560</v>
      </c>
      <c r="E79" t="s">
        <v>569</v>
      </c>
      <c r="F79">
        <v>28481.16</v>
      </c>
      <c r="G79" s="3">
        <v>44228</v>
      </c>
      <c r="H79">
        <v>1</v>
      </c>
      <c r="I79" t="s">
        <v>685</v>
      </c>
      <c r="J79" t="s">
        <v>687</v>
      </c>
      <c r="K79" t="s">
        <v>1151</v>
      </c>
    </row>
    <row r="80" spans="1:11" x14ac:dyDescent="0.25">
      <c r="A80" t="s">
        <v>91</v>
      </c>
      <c r="B80" t="s">
        <v>1152</v>
      </c>
      <c r="C80" t="s">
        <v>1153</v>
      </c>
      <c r="D80" t="s">
        <v>560</v>
      </c>
      <c r="E80" t="s">
        <v>563</v>
      </c>
      <c r="F80">
        <v>32192.15</v>
      </c>
      <c r="G80" s="3">
        <v>44473</v>
      </c>
      <c r="H80">
        <v>1</v>
      </c>
      <c r="I80" t="s">
        <v>683</v>
      </c>
      <c r="J80" t="s">
        <v>692</v>
      </c>
      <c r="K80" t="s">
        <v>775</v>
      </c>
    </row>
    <row r="81" spans="1:11" x14ac:dyDescent="0.25">
      <c r="A81" t="s">
        <v>92</v>
      </c>
      <c r="B81" t="s">
        <v>1154</v>
      </c>
      <c r="C81" t="s">
        <v>1076</v>
      </c>
      <c r="D81" t="s">
        <v>561</v>
      </c>
      <c r="E81" t="s">
        <v>563</v>
      </c>
      <c r="F81">
        <v>112645.99</v>
      </c>
      <c r="G81" s="3">
        <v>43759</v>
      </c>
      <c r="H81">
        <v>0.6</v>
      </c>
      <c r="I81" t="s">
        <v>683</v>
      </c>
      <c r="J81" t="s">
        <v>692</v>
      </c>
      <c r="K81" t="s">
        <v>1155</v>
      </c>
    </row>
    <row r="82" spans="1:11" x14ac:dyDescent="0.25">
      <c r="A82" t="s">
        <v>93</v>
      </c>
      <c r="B82" t="s">
        <v>1156</v>
      </c>
      <c r="C82" t="s">
        <v>1157</v>
      </c>
      <c r="D82" t="s">
        <v>560</v>
      </c>
      <c r="E82" t="s">
        <v>569</v>
      </c>
      <c r="F82">
        <v>107107.6</v>
      </c>
      <c r="G82" s="3">
        <v>43325</v>
      </c>
      <c r="H82">
        <v>0.9</v>
      </c>
      <c r="I82" t="s">
        <v>683</v>
      </c>
      <c r="J82" t="s">
        <v>692</v>
      </c>
      <c r="K82" t="s">
        <v>1158</v>
      </c>
    </row>
    <row r="83" spans="1:11" x14ac:dyDescent="0.25">
      <c r="A83" t="s">
        <v>94</v>
      </c>
      <c r="B83" t="s">
        <v>1046</v>
      </c>
      <c r="C83" t="s">
        <v>1159</v>
      </c>
      <c r="D83" t="s">
        <v>561</v>
      </c>
      <c r="E83" t="s">
        <v>562</v>
      </c>
      <c r="F83">
        <v>80695.740000000005</v>
      </c>
      <c r="G83" s="3">
        <v>43787</v>
      </c>
      <c r="H83">
        <v>0.8</v>
      </c>
      <c r="I83" t="s">
        <v>683</v>
      </c>
      <c r="J83" t="s">
        <v>693</v>
      </c>
      <c r="K83" t="s">
        <v>1160</v>
      </c>
    </row>
    <row r="84" spans="1:11" x14ac:dyDescent="0.25">
      <c r="A84" t="s">
        <v>95</v>
      </c>
      <c r="B84" t="s">
        <v>1161</v>
      </c>
      <c r="C84" t="s">
        <v>1162</v>
      </c>
      <c r="D84" t="s">
        <v>561</v>
      </c>
      <c r="E84" t="s">
        <v>565</v>
      </c>
      <c r="F84">
        <v>75475.929999999993</v>
      </c>
      <c r="G84" s="3">
        <v>43794</v>
      </c>
      <c r="H84">
        <v>1</v>
      </c>
      <c r="I84" t="s">
        <v>683</v>
      </c>
      <c r="J84" t="s">
        <v>690</v>
      </c>
      <c r="K84" t="s">
        <v>779</v>
      </c>
    </row>
    <row r="85" spans="1:11" x14ac:dyDescent="0.25">
      <c r="A85" t="s">
        <v>96</v>
      </c>
      <c r="B85" t="s">
        <v>1163</v>
      </c>
      <c r="C85" t="s">
        <v>1164</v>
      </c>
      <c r="D85" t="s">
        <v>561</v>
      </c>
      <c r="E85" t="s">
        <v>565</v>
      </c>
      <c r="F85">
        <v>86558.58</v>
      </c>
      <c r="G85" s="3">
        <v>43887</v>
      </c>
      <c r="H85">
        <v>1</v>
      </c>
      <c r="I85" t="s">
        <v>684</v>
      </c>
      <c r="J85" t="s">
        <v>692</v>
      </c>
      <c r="K85" t="s">
        <v>1165</v>
      </c>
    </row>
    <row r="86" spans="1:11" x14ac:dyDescent="0.25">
      <c r="A86" t="s">
        <v>97</v>
      </c>
      <c r="B86" t="s">
        <v>1166</v>
      </c>
      <c r="C86" t="s">
        <v>1167</v>
      </c>
      <c r="D86" t="s">
        <v>560</v>
      </c>
      <c r="E86" t="s">
        <v>569</v>
      </c>
      <c r="F86">
        <v>84309.95</v>
      </c>
      <c r="G86" s="3">
        <v>44501</v>
      </c>
      <c r="H86">
        <v>1</v>
      </c>
      <c r="I86" t="s">
        <v>683</v>
      </c>
      <c r="J86" t="s">
        <v>689</v>
      </c>
      <c r="K86" t="s">
        <v>1168</v>
      </c>
    </row>
    <row r="87" spans="1:11" x14ac:dyDescent="0.25">
      <c r="A87" t="s">
        <v>98</v>
      </c>
      <c r="B87" t="s">
        <v>1169</v>
      </c>
      <c r="C87" t="s">
        <v>1170</v>
      </c>
      <c r="D87" t="s">
        <v>561</v>
      </c>
      <c r="E87" t="s">
        <v>564</v>
      </c>
      <c r="F87">
        <v>91645.04</v>
      </c>
      <c r="G87" s="3">
        <v>44223</v>
      </c>
      <c r="H87">
        <v>1</v>
      </c>
      <c r="I87" t="s">
        <v>683</v>
      </c>
      <c r="J87" t="s">
        <v>690</v>
      </c>
      <c r="K87" t="s">
        <v>782</v>
      </c>
    </row>
    <row r="88" spans="1:11" x14ac:dyDescent="0.25">
      <c r="A88" t="s">
        <v>99</v>
      </c>
      <c r="B88" t="s">
        <v>1171</v>
      </c>
      <c r="C88" t="s">
        <v>1172</v>
      </c>
      <c r="D88" t="s">
        <v>561</v>
      </c>
      <c r="E88" t="s">
        <v>566</v>
      </c>
      <c r="F88">
        <v>101187.36</v>
      </c>
      <c r="G88" s="3">
        <v>43258</v>
      </c>
      <c r="H88">
        <v>1</v>
      </c>
      <c r="I88" t="s">
        <v>684</v>
      </c>
      <c r="J88" t="s">
        <v>687</v>
      </c>
      <c r="K88" t="s">
        <v>1173</v>
      </c>
    </row>
    <row r="89" spans="1:11" x14ac:dyDescent="0.25">
      <c r="A89" t="s">
        <v>100</v>
      </c>
      <c r="B89" t="s">
        <v>1174</v>
      </c>
      <c r="C89" t="s">
        <v>1175</v>
      </c>
      <c r="D89" t="s">
        <v>561</v>
      </c>
      <c r="E89" t="s">
        <v>564</v>
      </c>
      <c r="F89">
        <v>80169.42</v>
      </c>
      <c r="G89" s="3">
        <v>44053</v>
      </c>
      <c r="H89">
        <v>1</v>
      </c>
      <c r="I89" t="s">
        <v>683</v>
      </c>
      <c r="J89" t="s">
        <v>689</v>
      </c>
      <c r="K89" t="s">
        <v>1176</v>
      </c>
    </row>
    <row r="90" spans="1:11" x14ac:dyDescent="0.25">
      <c r="A90" t="s">
        <v>101</v>
      </c>
      <c r="B90" t="s">
        <v>1177</v>
      </c>
      <c r="C90" t="s">
        <v>1178</v>
      </c>
      <c r="D90" t="s">
        <v>561</v>
      </c>
      <c r="E90" t="s">
        <v>566</v>
      </c>
      <c r="F90">
        <v>104038.9</v>
      </c>
      <c r="G90" s="3">
        <v>43815</v>
      </c>
      <c r="H90">
        <v>1</v>
      </c>
      <c r="I90" t="s">
        <v>684</v>
      </c>
      <c r="J90" t="s">
        <v>689</v>
      </c>
      <c r="K90" t="s">
        <v>1179</v>
      </c>
    </row>
    <row r="91" spans="1:11" x14ac:dyDescent="0.25">
      <c r="A91" t="s">
        <v>102</v>
      </c>
      <c r="B91" t="s">
        <v>1180</v>
      </c>
      <c r="C91" t="s">
        <v>1181</v>
      </c>
      <c r="D91" t="s">
        <v>560</v>
      </c>
      <c r="E91" t="s">
        <v>569</v>
      </c>
      <c r="F91">
        <v>99683.67</v>
      </c>
      <c r="G91" s="3">
        <v>43500</v>
      </c>
      <c r="H91">
        <v>1</v>
      </c>
      <c r="I91" t="s">
        <v>684</v>
      </c>
      <c r="J91" t="s">
        <v>692</v>
      </c>
      <c r="K91" t="s">
        <v>1182</v>
      </c>
    </row>
    <row r="92" spans="1:11" x14ac:dyDescent="0.25">
      <c r="A92" t="s">
        <v>103</v>
      </c>
      <c r="B92" t="s">
        <v>1046</v>
      </c>
      <c r="C92" t="s">
        <v>1183</v>
      </c>
      <c r="D92" t="s">
        <v>560</v>
      </c>
      <c r="E92" t="s">
        <v>565</v>
      </c>
      <c r="F92">
        <v>47362.62</v>
      </c>
      <c r="G92" s="3">
        <v>43973</v>
      </c>
      <c r="H92">
        <v>1</v>
      </c>
      <c r="I92" t="s">
        <v>685</v>
      </c>
      <c r="J92" t="s">
        <v>687</v>
      </c>
      <c r="K92" t="s">
        <v>787</v>
      </c>
    </row>
    <row r="93" spans="1:11" x14ac:dyDescent="0.25">
      <c r="A93" t="s">
        <v>104</v>
      </c>
      <c r="B93" t="s">
        <v>1184</v>
      </c>
      <c r="C93" t="s">
        <v>1185</v>
      </c>
      <c r="D93" t="s">
        <v>561</v>
      </c>
      <c r="E93" t="s">
        <v>567</v>
      </c>
      <c r="F93">
        <v>70649.460000000006</v>
      </c>
      <c r="G93" s="3">
        <v>43843</v>
      </c>
      <c r="H93">
        <v>1</v>
      </c>
      <c r="I93" t="s">
        <v>683</v>
      </c>
      <c r="J93" t="s">
        <v>687</v>
      </c>
      <c r="K93" t="s">
        <v>788</v>
      </c>
    </row>
    <row r="94" spans="1:11" x14ac:dyDescent="0.25">
      <c r="A94" t="s">
        <v>105</v>
      </c>
      <c r="B94" t="s">
        <v>1075</v>
      </c>
      <c r="C94" t="s">
        <v>1016</v>
      </c>
      <c r="D94" t="s">
        <v>560</v>
      </c>
      <c r="E94" t="s">
        <v>562</v>
      </c>
      <c r="F94">
        <v>75733.740000000005</v>
      </c>
      <c r="G94" s="3">
        <v>44382</v>
      </c>
      <c r="H94">
        <v>1</v>
      </c>
      <c r="I94" t="s">
        <v>683</v>
      </c>
      <c r="J94" t="s">
        <v>689</v>
      </c>
      <c r="K94" t="s">
        <v>789</v>
      </c>
    </row>
    <row r="95" spans="1:11" x14ac:dyDescent="0.25">
      <c r="A95" t="s">
        <v>106</v>
      </c>
      <c r="B95" t="s">
        <v>993</v>
      </c>
      <c r="C95" t="s">
        <v>1186</v>
      </c>
      <c r="D95" t="s">
        <v>560</v>
      </c>
      <c r="E95" t="s">
        <v>567</v>
      </c>
      <c r="F95">
        <v>71823.56</v>
      </c>
      <c r="G95" s="3">
        <v>43374</v>
      </c>
      <c r="H95">
        <v>0.3</v>
      </c>
      <c r="I95" t="s">
        <v>685</v>
      </c>
      <c r="J95" t="s">
        <v>690</v>
      </c>
      <c r="K95" t="s">
        <v>790</v>
      </c>
    </row>
    <row r="96" spans="1:11" x14ac:dyDescent="0.25">
      <c r="A96" t="s">
        <v>107</v>
      </c>
      <c r="B96" t="s">
        <v>1187</v>
      </c>
      <c r="C96" t="s">
        <v>1188</v>
      </c>
      <c r="D96" t="s">
        <v>561</v>
      </c>
      <c r="E96" t="s">
        <v>567</v>
      </c>
      <c r="F96">
        <v>41934.71</v>
      </c>
      <c r="G96" s="3">
        <v>43943</v>
      </c>
      <c r="H96">
        <v>1</v>
      </c>
      <c r="I96" t="s">
        <v>683</v>
      </c>
      <c r="J96" t="s">
        <v>686</v>
      </c>
      <c r="K96" t="s">
        <v>791</v>
      </c>
    </row>
    <row r="97" spans="1:11" x14ac:dyDescent="0.25">
      <c r="A97" t="s">
        <v>108</v>
      </c>
      <c r="B97" t="s">
        <v>1075</v>
      </c>
      <c r="C97" t="s">
        <v>1189</v>
      </c>
      <c r="D97" t="s">
        <v>561</v>
      </c>
      <c r="E97" t="s">
        <v>565</v>
      </c>
      <c r="F97">
        <v>66572.58</v>
      </c>
      <c r="G97" s="3">
        <v>44193</v>
      </c>
      <c r="H97">
        <v>1</v>
      </c>
      <c r="I97" t="s">
        <v>683</v>
      </c>
      <c r="J97" t="s">
        <v>693</v>
      </c>
      <c r="K97" t="s">
        <v>792</v>
      </c>
    </row>
    <row r="98" spans="1:11" x14ac:dyDescent="0.25">
      <c r="A98" t="s">
        <v>109</v>
      </c>
      <c r="B98" t="s">
        <v>1137</v>
      </c>
      <c r="C98" t="s">
        <v>1190</v>
      </c>
      <c r="D98" t="s">
        <v>561</v>
      </c>
      <c r="E98" t="s">
        <v>563</v>
      </c>
      <c r="F98">
        <v>76932.600000000006</v>
      </c>
      <c r="G98" s="3">
        <v>43493</v>
      </c>
      <c r="H98">
        <v>1</v>
      </c>
      <c r="I98" t="s">
        <v>683</v>
      </c>
      <c r="J98" t="s">
        <v>689</v>
      </c>
      <c r="K98" t="s">
        <v>1191</v>
      </c>
    </row>
    <row r="99" spans="1:11" x14ac:dyDescent="0.25">
      <c r="A99" t="s">
        <v>110</v>
      </c>
      <c r="B99" t="s">
        <v>1192</v>
      </c>
      <c r="C99" t="s">
        <v>1013</v>
      </c>
      <c r="D99" t="s">
        <v>560</v>
      </c>
      <c r="E99" t="s">
        <v>569</v>
      </c>
      <c r="F99">
        <v>59258.19</v>
      </c>
      <c r="G99" s="3">
        <v>43452</v>
      </c>
      <c r="H99">
        <v>0.8</v>
      </c>
      <c r="I99" t="s">
        <v>683</v>
      </c>
      <c r="J99" t="s">
        <v>693</v>
      </c>
      <c r="K99" t="s">
        <v>1193</v>
      </c>
    </row>
    <row r="100" spans="1:11" x14ac:dyDescent="0.25">
      <c r="A100" t="s">
        <v>111</v>
      </c>
      <c r="B100" t="s">
        <v>1194</v>
      </c>
      <c r="C100" t="s">
        <v>1178</v>
      </c>
      <c r="D100" t="s">
        <v>560</v>
      </c>
      <c r="E100" t="s">
        <v>563</v>
      </c>
      <c r="F100">
        <v>112778.28</v>
      </c>
      <c r="G100" s="3">
        <v>43250</v>
      </c>
      <c r="H100">
        <v>1</v>
      </c>
      <c r="I100" t="s">
        <v>684</v>
      </c>
      <c r="J100" t="s">
        <v>692</v>
      </c>
      <c r="K100" t="s">
        <v>1195</v>
      </c>
    </row>
    <row r="101" spans="1:11" x14ac:dyDescent="0.25">
      <c r="A101" t="s">
        <v>112</v>
      </c>
      <c r="B101" t="s">
        <v>1184</v>
      </c>
      <c r="C101" t="s">
        <v>1196</v>
      </c>
      <c r="D101" t="s">
        <v>561</v>
      </c>
      <c r="E101" t="s">
        <v>564</v>
      </c>
      <c r="F101">
        <v>44845.33</v>
      </c>
      <c r="G101" s="3">
        <v>43277</v>
      </c>
      <c r="H101">
        <v>1</v>
      </c>
      <c r="I101" t="s">
        <v>683</v>
      </c>
      <c r="J101" t="s">
        <v>686</v>
      </c>
      <c r="K101" t="s">
        <v>796</v>
      </c>
    </row>
    <row r="102" spans="1:11" x14ac:dyDescent="0.25">
      <c r="A102" t="s">
        <v>113</v>
      </c>
      <c r="B102" t="s">
        <v>1197</v>
      </c>
      <c r="C102" t="s">
        <v>1198</v>
      </c>
      <c r="D102" t="s">
        <v>560</v>
      </c>
      <c r="E102" t="s">
        <v>563</v>
      </c>
      <c r="F102">
        <v>115191.38</v>
      </c>
      <c r="G102" s="3">
        <v>44004</v>
      </c>
      <c r="H102">
        <v>1</v>
      </c>
      <c r="I102" t="s">
        <v>683</v>
      </c>
      <c r="J102" t="s">
        <v>688</v>
      </c>
      <c r="K102" t="s">
        <v>1199</v>
      </c>
    </row>
    <row r="103" spans="1:11" x14ac:dyDescent="0.25">
      <c r="A103" t="s">
        <v>114</v>
      </c>
      <c r="B103" t="s">
        <v>1065</v>
      </c>
      <c r="C103" t="s">
        <v>1200</v>
      </c>
      <c r="D103" t="s">
        <v>561</v>
      </c>
      <c r="E103" t="s">
        <v>569</v>
      </c>
      <c r="F103">
        <v>111049.84</v>
      </c>
      <c r="G103" s="3">
        <v>44393</v>
      </c>
      <c r="H103">
        <v>1</v>
      </c>
      <c r="I103" t="s">
        <v>683</v>
      </c>
      <c r="J103" t="s">
        <v>693</v>
      </c>
      <c r="K103" t="s">
        <v>1201</v>
      </c>
    </row>
    <row r="104" spans="1:11" x14ac:dyDescent="0.25">
      <c r="A104" t="s">
        <v>115</v>
      </c>
      <c r="B104" t="s">
        <v>1202</v>
      </c>
      <c r="C104" t="s">
        <v>1203</v>
      </c>
      <c r="D104" t="s">
        <v>560</v>
      </c>
      <c r="E104" t="s">
        <v>564</v>
      </c>
      <c r="F104">
        <v>75974.990000000005</v>
      </c>
      <c r="G104" s="3">
        <v>44172</v>
      </c>
      <c r="H104">
        <v>1</v>
      </c>
      <c r="I104" t="s">
        <v>683</v>
      </c>
      <c r="J104" t="s">
        <v>692</v>
      </c>
      <c r="K104" t="s">
        <v>1204</v>
      </c>
    </row>
    <row r="105" spans="1:11" x14ac:dyDescent="0.25">
      <c r="A105" t="s">
        <v>116</v>
      </c>
      <c r="B105" t="s">
        <v>1205</v>
      </c>
      <c r="C105" t="s">
        <v>1206</v>
      </c>
      <c r="D105" t="s">
        <v>560</v>
      </c>
      <c r="E105" t="s">
        <v>563</v>
      </c>
      <c r="F105">
        <v>42161.77</v>
      </c>
      <c r="G105" s="3">
        <v>43494</v>
      </c>
      <c r="H105">
        <v>1</v>
      </c>
      <c r="I105" t="s">
        <v>683</v>
      </c>
      <c r="J105" t="s">
        <v>689</v>
      </c>
      <c r="K105" t="s">
        <v>1207</v>
      </c>
    </row>
    <row r="106" spans="1:11" x14ac:dyDescent="0.25">
      <c r="A106" t="s">
        <v>117</v>
      </c>
      <c r="B106" t="s">
        <v>1208</v>
      </c>
      <c r="C106" t="s">
        <v>1209</v>
      </c>
      <c r="D106" t="s">
        <v>561</v>
      </c>
      <c r="E106" t="s">
        <v>566</v>
      </c>
      <c r="F106">
        <v>71371.37</v>
      </c>
      <c r="G106" s="3">
        <v>43392</v>
      </c>
      <c r="H106">
        <v>1</v>
      </c>
      <c r="I106" t="s">
        <v>683</v>
      </c>
      <c r="J106" t="s">
        <v>692</v>
      </c>
      <c r="K106" t="s">
        <v>801</v>
      </c>
    </row>
    <row r="107" spans="1:11" x14ac:dyDescent="0.25">
      <c r="A107" t="s">
        <v>118</v>
      </c>
      <c r="B107" t="s">
        <v>1063</v>
      </c>
      <c r="C107" t="s">
        <v>1209</v>
      </c>
      <c r="D107" t="s">
        <v>560</v>
      </c>
      <c r="E107" t="s">
        <v>566</v>
      </c>
      <c r="F107">
        <v>49915.14</v>
      </c>
      <c r="G107" s="3">
        <v>43550</v>
      </c>
      <c r="H107">
        <v>1</v>
      </c>
      <c r="I107" t="s">
        <v>683</v>
      </c>
      <c r="J107" t="s">
        <v>687</v>
      </c>
      <c r="K107" t="s">
        <v>1210</v>
      </c>
    </row>
    <row r="108" spans="1:11" x14ac:dyDescent="0.25">
      <c r="A108" t="s">
        <v>120</v>
      </c>
      <c r="B108" t="s">
        <v>1211</v>
      </c>
      <c r="C108" t="s">
        <v>1212</v>
      </c>
      <c r="D108" t="s">
        <v>561</v>
      </c>
      <c r="E108" t="s">
        <v>564</v>
      </c>
      <c r="F108">
        <v>37062.1</v>
      </c>
      <c r="G108" s="3">
        <v>44357</v>
      </c>
      <c r="H108">
        <v>1</v>
      </c>
      <c r="I108" t="s">
        <v>685</v>
      </c>
      <c r="J108" t="s">
        <v>688</v>
      </c>
      <c r="K108" t="s">
        <v>804</v>
      </c>
    </row>
    <row r="109" spans="1:11" x14ac:dyDescent="0.25">
      <c r="A109" t="s">
        <v>123</v>
      </c>
      <c r="B109" t="s">
        <v>1213</v>
      </c>
      <c r="C109" t="s">
        <v>1214</v>
      </c>
      <c r="D109" t="s">
        <v>560</v>
      </c>
      <c r="E109" t="s">
        <v>568</v>
      </c>
      <c r="F109">
        <v>90884.32</v>
      </c>
      <c r="G109" s="3">
        <v>43826</v>
      </c>
      <c r="H109">
        <v>1</v>
      </c>
      <c r="I109" t="s">
        <v>683</v>
      </c>
      <c r="J109" t="s">
        <v>692</v>
      </c>
      <c r="K109" t="s">
        <v>1215</v>
      </c>
    </row>
    <row r="110" spans="1:11" x14ac:dyDescent="0.25">
      <c r="A110" t="s">
        <v>124</v>
      </c>
      <c r="B110" t="s">
        <v>1180</v>
      </c>
      <c r="C110" t="s">
        <v>999</v>
      </c>
      <c r="D110" t="s">
        <v>561</v>
      </c>
      <c r="E110" t="s">
        <v>565</v>
      </c>
      <c r="F110">
        <v>89838.77</v>
      </c>
      <c r="G110" s="3">
        <v>43602</v>
      </c>
      <c r="H110">
        <v>1</v>
      </c>
      <c r="I110" t="s">
        <v>683</v>
      </c>
      <c r="J110" t="s">
        <v>691</v>
      </c>
      <c r="K110" t="s">
        <v>1216</v>
      </c>
    </row>
    <row r="111" spans="1:11" x14ac:dyDescent="0.25">
      <c r="A111" t="s">
        <v>126</v>
      </c>
      <c r="B111" t="s">
        <v>1217</v>
      </c>
      <c r="C111" t="s">
        <v>1218</v>
      </c>
      <c r="D111" t="s">
        <v>560</v>
      </c>
      <c r="E111" t="s">
        <v>569</v>
      </c>
      <c r="F111">
        <v>68887.839999999997</v>
      </c>
      <c r="G111" s="3">
        <v>43297</v>
      </c>
      <c r="H111">
        <v>1</v>
      </c>
      <c r="I111" t="s">
        <v>683</v>
      </c>
      <c r="J111" t="s">
        <v>687</v>
      </c>
      <c r="K111" t="s">
        <v>1219</v>
      </c>
    </row>
    <row r="112" spans="1:11" x14ac:dyDescent="0.25">
      <c r="A112" t="s">
        <v>127</v>
      </c>
      <c r="B112" t="s">
        <v>1220</v>
      </c>
      <c r="C112" t="s">
        <v>1221</v>
      </c>
      <c r="D112" t="s">
        <v>561</v>
      </c>
      <c r="E112" t="s">
        <v>562</v>
      </c>
      <c r="F112">
        <v>106775.14</v>
      </c>
      <c r="G112" s="3">
        <v>43563</v>
      </c>
      <c r="H112">
        <v>1</v>
      </c>
      <c r="I112" t="s">
        <v>684</v>
      </c>
      <c r="J112" t="s">
        <v>690</v>
      </c>
      <c r="K112" t="s">
        <v>1222</v>
      </c>
    </row>
    <row r="113" spans="1:11" x14ac:dyDescent="0.25">
      <c r="A113" t="s">
        <v>128</v>
      </c>
      <c r="B113" t="s">
        <v>1223</v>
      </c>
      <c r="C113" t="s">
        <v>1224</v>
      </c>
      <c r="D113" t="s">
        <v>561</v>
      </c>
      <c r="E113" t="s">
        <v>568</v>
      </c>
      <c r="F113">
        <v>89690.38</v>
      </c>
      <c r="G113" s="3">
        <v>43213</v>
      </c>
      <c r="H113">
        <v>1</v>
      </c>
      <c r="I113" t="s">
        <v>683</v>
      </c>
      <c r="J113" t="s">
        <v>690</v>
      </c>
      <c r="K113" t="s">
        <v>1225</v>
      </c>
    </row>
    <row r="114" spans="1:11" x14ac:dyDescent="0.25">
      <c r="A114" t="s">
        <v>129</v>
      </c>
      <c r="B114" t="s">
        <v>1169</v>
      </c>
      <c r="C114" t="s">
        <v>1226</v>
      </c>
      <c r="D114" t="s">
        <v>561</v>
      </c>
      <c r="E114" t="s">
        <v>565</v>
      </c>
      <c r="F114">
        <v>111229.47</v>
      </c>
      <c r="G114" s="3">
        <v>43402</v>
      </c>
      <c r="H114">
        <v>1</v>
      </c>
      <c r="I114" t="s">
        <v>683</v>
      </c>
      <c r="J114" t="s">
        <v>686</v>
      </c>
      <c r="K114" t="s">
        <v>813</v>
      </c>
    </row>
    <row r="115" spans="1:11" x14ac:dyDescent="0.25">
      <c r="A115" t="s">
        <v>130</v>
      </c>
      <c r="B115" t="s">
        <v>1227</v>
      </c>
      <c r="C115" t="s">
        <v>1019</v>
      </c>
      <c r="D115" t="s">
        <v>560</v>
      </c>
      <c r="E115" t="s">
        <v>566</v>
      </c>
      <c r="F115">
        <v>67633.850000000006</v>
      </c>
      <c r="G115" s="3">
        <v>43340</v>
      </c>
      <c r="H115">
        <v>1</v>
      </c>
      <c r="I115" t="s">
        <v>683</v>
      </c>
      <c r="J115" t="s">
        <v>687</v>
      </c>
      <c r="K115" t="s">
        <v>1228</v>
      </c>
    </row>
    <row r="116" spans="1:11" x14ac:dyDescent="0.25">
      <c r="A116" t="s">
        <v>131</v>
      </c>
      <c r="B116" t="s">
        <v>1229</v>
      </c>
      <c r="C116" t="s">
        <v>1230</v>
      </c>
      <c r="D116" t="s">
        <v>561</v>
      </c>
      <c r="E116" t="s">
        <v>567</v>
      </c>
      <c r="F116">
        <v>111815.49</v>
      </c>
      <c r="G116" s="3">
        <v>43895</v>
      </c>
      <c r="H116">
        <v>0.7</v>
      </c>
      <c r="I116" t="s">
        <v>685</v>
      </c>
      <c r="J116" t="s">
        <v>691</v>
      </c>
      <c r="K116" t="s">
        <v>815</v>
      </c>
    </row>
    <row r="117" spans="1:11" x14ac:dyDescent="0.25">
      <c r="A117" t="s">
        <v>132</v>
      </c>
      <c r="B117" t="s">
        <v>1093</v>
      </c>
      <c r="C117" t="s">
        <v>1016</v>
      </c>
      <c r="D117" t="s">
        <v>561</v>
      </c>
      <c r="E117" t="s">
        <v>565</v>
      </c>
      <c r="F117">
        <v>39784.239999999998</v>
      </c>
      <c r="G117" s="3">
        <v>43465</v>
      </c>
      <c r="H117">
        <v>1</v>
      </c>
      <c r="I117" t="s">
        <v>684</v>
      </c>
      <c r="J117" t="s">
        <v>688</v>
      </c>
      <c r="K117" t="s">
        <v>1231</v>
      </c>
    </row>
    <row r="118" spans="1:11" x14ac:dyDescent="0.25">
      <c r="A118" t="s">
        <v>133</v>
      </c>
      <c r="B118" t="s">
        <v>1232</v>
      </c>
      <c r="C118" t="s">
        <v>1233</v>
      </c>
      <c r="D118" t="s">
        <v>560</v>
      </c>
      <c r="E118" t="s">
        <v>567</v>
      </c>
      <c r="F118">
        <v>89829.33</v>
      </c>
      <c r="G118" s="3">
        <v>43794</v>
      </c>
      <c r="H118">
        <v>1</v>
      </c>
      <c r="I118" t="s">
        <v>685</v>
      </c>
      <c r="J118" t="s">
        <v>690</v>
      </c>
      <c r="K118" t="s">
        <v>1234</v>
      </c>
    </row>
    <row r="119" spans="1:11" x14ac:dyDescent="0.25">
      <c r="A119" t="s">
        <v>134</v>
      </c>
      <c r="B119" t="s">
        <v>1235</v>
      </c>
      <c r="C119" t="s">
        <v>1236</v>
      </c>
      <c r="D119" t="s">
        <v>560</v>
      </c>
      <c r="E119" t="s">
        <v>564</v>
      </c>
      <c r="F119">
        <v>111815.49</v>
      </c>
      <c r="G119" s="3">
        <v>43895</v>
      </c>
      <c r="H119">
        <v>0.7</v>
      </c>
      <c r="I119" t="s">
        <v>685</v>
      </c>
      <c r="J119" t="s">
        <v>689</v>
      </c>
      <c r="K119" t="s">
        <v>1237</v>
      </c>
    </row>
    <row r="120" spans="1:11" x14ac:dyDescent="0.25">
      <c r="A120" t="s">
        <v>135</v>
      </c>
      <c r="B120" t="s">
        <v>1238</v>
      </c>
      <c r="C120" t="s">
        <v>1239</v>
      </c>
      <c r="D120" t="s">
        <v>561</v>
      </c>
      <c r="E120" t="s">
        <v>567</v>
      </c>
      <c r="F120">
        <v>72843.23</v>
      </c>
      <c r="G120" s="3">
        <v>43280</v>
      </c>
      <c r="H120">
        <v>1</v>
      </c>
      <c r="I120" t="s">
        <v>684</v>
      </c>
      <c r="J120" t="s">
        <v>693</v>
      </c>
      <c r="K120" t="s">
        <v>1240</v>
      </c>
    </row>
    <row r="121" spans="1:11" x14ac:dyDescent="0.25">
      <c r="A121" t="s">
        <v>136</v>
      </c>
      <c r="B121" t="s">
        <v>1184</v>
      </c>
      <c r="C121" t="s">
        <v>1241</v>
      </c>
      <c r="D121" t="s">
        <v>560</v>
      </c>
      <c r="E121" t="s">
        <v>563</v>
      </c>
      <c r="F121">
        <v>71823.56</v>
      </c>
      <c r="G121" s="3">
        <v>43374</v>
      </c>
      <c r="H121">
        <v>0.3</v>
      </c>
      <c r="I121" t="s">
        <v>685</v>
      </c>
      <c r="J121" t="s">
        <v>690</v>
      </c>
      <c r="K121" t="s">
        <v>1242</v>
      </c>
    </row>
    <row r="122" spans="1:11" x14ac:dyDescent="0.25">
      <c r="A122" t="s">
        <v>137</v>
      </c>
      <c r="B122" t="s">
        <v>1243</v>
      </c>
      <c r="C122" t="s">
        <v>1244</v>
      </c>
      <c r="D122" t="s">
        <v>560</v>
      </c>
      <c r="E122" t="s">
        <v>567</v>
      </c>
      <c r="F122">
        <v>88511.17</v>
      </c>
      <c r="G122" s="3">
        <v>43950</v>
      </c>
      <c r="H122">
        <v>1</v>
      </c>
      <c r="I122" t="s">
        <v>683</v>
      </c>
      <c r="J122" t="s">
        <v>687</v>
      </c>
      <c r="K122" t="s">
        <v>821</v>
      </c>
    </row>
    <row r="123" spans="1:11" x14ac:dyDescent="0.25">
      <c r="A123" t="s">
        <v>138</v>
      </c>
      <c r="B123" t="s">
        <v>1245</v>
      </c>
      <c r="C123" t="s">
        <v>1246</v>
      </c>
      <c r="D123" t="s">
        <v>561</v>
      </c>
      <c r="E123" t="s">
        <v>567</v>
      </c>
      <c r="F123">
        <v>36547.58</v>
      </c>
      <c r="G123" s="3">
        <v>43416</v>
      </c>
      <c r="H123">
        <v>1</v>
      </c>
      <c r="I123" t="s">
        <v>683</v>
      </c>
      <c r="J123" t="s">
        <v>687</v>
      </c>
      <c r="K123" t="s">
        <v>1247</v>
      </c>
    </row>
    <row r="124" spans="1:11" x14ac:dyDescent="0.25">
      <c r="A124" t="s">
        <v>139</v>
      </c>
      <c r="B124" t="s">
        <v>1169</v>
      </c>
      <c r="C124" t="s">
        <v>1248</v>
      </c>
      <c r="D124" t="s">
        <v>561</v>
      </c>
      <c r="E124" t="s">
        <v>563</v>
      </c>
      <c r="F124">
        <v>95954.02</v>
      </c>
      <c r="G124" s="3">
        <v>43567</v>
      </c>
      <c r="H124">
        <v>0.3</v>
      </c>
      <c r="I124" t="s">
        <v>683</v>
      </c>
      <c r="J124" t="s">
        <v>690</v>
      </c>
      <c r="K124" t="s">
        <v>1249</v>
      </c>
    </row>
    <row r="125" spans="1:11" x14ac:dyDescent="0.25">
      <c r="A125" t="s">
        <v>140</v>
      </c>
      <c r="B125" t="s">
        <v>1250</v>
      </c>
      <c r="C125" t="s">
        <v>1251</v>
      </c>
      <c r="D125" t="s">
        <v>560</v>
      </c>
      <c r="E125" t="s">
        <v>565</v>
      </c>
      <c r="F125">
        <v>95677.9</v>
      </c>
      <c r="G125" s="3">
        <v>44396</v>
      </c>
      <c r="H125">
        <v>0.3</v>
      </c>
      <c r="I125" t="s">
        <v>683</v>
      </c>
      <c r="J125" t="s">
        <v>690</v>
      </c>
      <c r="K125" t="s">
        <v>824</v>
      </c>
    </row>
    <row r="126" spans="1:11" x14ac:dyDescent="0.25">
      <c r="A126" t="s">
        <v>141</v>
      </c>
      <c r="B126" t="s">
        <v>977</v>
      </c>
      <c r="C126" t="s">
        <v>1181</v>
      </c>
      <c r="D126" t="s">
        <v>561</v>
      </c>
      <c r="E126" t="s">
        <v>565</v>
      </c>
      <c r="F126">
        <v>76303.820000000007</v>
      </c>
      <c r="G126" s="3">
        <v>43458</v>
      </c>
      <c r="H126">
        <v>1</v>
      </c>
      <c r="I126" t="s">
        <v>684</v>
      </c>
      <c r="J126" t="s">
        <v>690</v>
      </c>
      <c r="K126" t="s">
        <v>1252</v>
      </c>
    </row>
    <row r="127" spans="1:11" x14ac:dyDescent="0.25">
      <c r="A127" t="s">
        <v>143</v>
      </c>
      <c r="B127" t="s">
        <v>1253</v>
      </c>
      <c r="C127" t="s">
        <v>1254</v>
      </c>
      <c r="D127" t="s">
        <v>561</v>
      </c>
      <c r="E127" t="s">
        <v>562</v>
      </c>
      <c r="F127">
        <v>99460.78</v>
      </c>
      <c r="G127" s="3">
        <v>43956</v>
      </c>
      <c r="H127">
        <v>1</v>
      </c>
      <c r="I127" t="s">
        <v>683</v>
      </c>
      <c r="J127" t="s">
        <v>691</v>
      </c>
      <c r="K127" t="s">
        <v>827</v>
      </c>
    </row>
    <row r="128" spans="1:11" x14ac:dyDescent="0.25">
      <c r="A128" t="s">
        <v>144</v>
      </c>
      <c r="B128" t="s">
        <v>1255</v>
      </c>
      <c r="C128" t="s">
        <v>1256</v>
      </c>
      <c r="D128" t="s">
        <v>561</v>
      </c>
      <c r="E128" t="s">
        <v>566</v>
      </c>
      <c r="F128">
        <v>88034.67</v>
      </c>
      <c r="G128" s="3">
        <v>43669</v>
      </c>
      <c r="H128">
        <v>1</v>
      </c>
      <c r="I128" t="s">
        <v>683</v>
      </c>
      <c r="J128" t="s">
        <v>692</v>
      </c>
      <c r="K128" t="s">
        <v>828</v>
      </c>
    </row>
    <row r="129" spans="1:11" x14ac:dyDescent="0.25">
      <c r="A129" t="s">
        <v>145</v>
      </c>
      <c r="B129" t="s">
        <v>1257</v>
      </c>
      <c r="C129" t="s">
        <v>1258</v>
      </c>
      <c r="D129" t="s">
        <v>560</v>
      </c>
      <c r="E129" t="s">
        <v>565</v>
      </c>
      <c r="F129">
        <v>44447.26</v>
      </c>
      <c r="G129" s="3">
        <v>43846</v>
      </c>
      <c r="H129">
        <v>0.4</v>
      </c>
      <c r="I129" t="s">
        <v>683</v>
      </c>
      <c r="J129" t="s">
        <v>693</v>
      </c>
      <c r="K129" t="s">
        <v>1259</v>
      </c>
    </row>
    <row r="130" spans="1:11" x14ac:dyDescent="0.25">
      <c r="A130" t="s">
        <v>146</v>
      </c>
      <c r="B130" t="s">
        <v>1260</v>
      </c>
      <c r="C130" t="s">
        <v>1261</v>
      </c>
      <c r="D130" t="s">
        <v>561</v>
      </c>
      <c r="E130" t="s">
        <v>566</v>
      </c>
      <c r="F130">
        <v>40445.29</v>
      </c>
      <c r="G130" s="3">
        <v>44393</v>
      </c>
      <c r="H130">
        <v>1</v>
      </c>
      <c r="I130" t="s">
        <v>683</v>
      </c>
      <c r="J130" t="s">
        <v>688</v>
      </c>
      <c r="K130" t="s">
        <v>1262</v>
      </c>
    </row>
    <row r="131" spans="1:11" x14ac:dyDescent="0.25">
      <c r="A131" t="s">
        <v>147</v>
      </c>
      <c r="B131" t="s">
        <v>1184</v>
      </c>
      <c r="C131" t="s">
        <v>1263</v>
      </c>
      <c r="D131" t="s">
        <v>561</v>
      </c>
      <c r="E131" t="s">
        <v>564</v>
      </c>
      <c r="F131">
        <v>92336.08</v>
      </c>
      <c r="G131" s="3">
        <v>44431</v>
      </c>
      <c r="H131">
        <v>1</v>
      </c>
      <c r="I131" t="s">
        <v>683</v>
      </c>
      <c r="J131" t="s">
        <v>691</v>
      </c>
      <c r="K131" t="s">
        <v>1264</v>
      </c>
    </row>
    <row r="132" spans="1:11" x14ac:dyDescent="0.25">
      <c r="A132" t="s">
        <v>148</v>
      </c>
      <c r="B132" t="s">
        <v>1265</v>
      </c>
      <c r="C132" t="s">
        <v>1266</v>
      </c>
      <c r="D132" t="s">
        <v>561</v>
      </c>
      <c r="E132" t="s">
        <v>567</v>
      </c>
      <c r="F132">
        <v>68008.55</v>
      </c>
      <c r="G132" s="3">
        <v>44062</v>
      </c>
      <c r="H132">
        <v>1</v>
      </c>
      <c r="I132" t="s">
        <v>683</v>
      </c>
      <c r="J132" t="s">
        <v>692</v>
      </c>
      <c r="K132" t="s">
        <v>1267</v>
      </c>
    </row>
    <row r="133" spans="1:11" x14ac:dyDescent="0.25">
      <c r="A133" t="s">
        <v>149</v>
      </c>
      <c r="B133" t="s">
        <v>1268</v>
      </c>
      <c r="C133" t="s">
        <v>1269</v>
      </c>
      <c r="D133" t="s">
        <v>561</v>
      </c>
      <c r="E133" t="s">
        <v>562</v>
      </c>
      <c r="F133">
        <v>74924.649999999994</v>
      </c>
      <c r="G133" s="3">
        <v>44239</v>
      </c>
      <c r="H133">
        <v>1</v>
      </c>
      <c r="I133" t="s">
        <v>683</v>
      </c>
      <c r="J133" t="s">
        <v>686</v>
      </c>
      <c r="K133" t="s">
        <v>833</v>
      </c>
    </row>
    <row r="134" spans="1:11" x14ac:dyDescent="0.25">
      <c r="A134" t="s">
        <v>151</v>
      </c>
      <c r="B134" t="s">
        <v>1270</v>
      </c>
      <c r="C134" t="s">
        <v>1271</v>
      </c>
      <c r="D134" t="s">
        <v>560</v>
      </c>
      <c r="E134" t="s">
        <v>569</v>
      </c>
      <c r="F134">
        <v>88689.09</v>
      </c>
      <c r="G134" s="3">
        <v>43740</v>
      </c>
      <c r="H134">
        <v>1</v>
      </c>
      <c r="I134" t="s">
        <v>683</v>
      </c>
      <c r="J134" t="s">
        <v>689</v>
      </c>
      <c r="K134" t="s">
        <v>1272</v>
      </c>
    </row>
    <row r="135" spans="1:11" x14ac:dyDescent="0.25">
      <c r="A135" t="s">
        <v>152</v>
      </c>
      <c r="B135" t="s">
        <v>1273</v>
      </c>
      <c r="C135" t="s">
        <v>1274</v>
      </c>
      <c r="D135" t="s">
        <v>560</v>
      </c>
      <c r="E135" t="s">
        <v>564</v>
      </c>
      <c r="F135">
        <v>96555.53</v>
      </c>
      <c r="G135" s="3">
        <v>43489</v>
      </c>
      <c r="H135">
        <v>0.2</v>
      </c>
      <c r="I135" t="s">
        <v>685</v>
      </c>
      <c r="J135" t="s">
        <v>686</v>
      </c>
      <c r="K135" t="s">
        <v>1275</v>
      </c>
    </row>
    <row r="136" spans="1:11" x14ac:dyDescent="0.25">
      <c r="A136" t="s">
        <v>153</v>
      </c>
      <c r="B136" t="s">
        <v>1015</v>
      </c>
      <c r="C136" t="s">
        <v>1276</v>
      </c>
      <c r="D136" t="s">
        <v>560</v>
      </c>
      <c r="E136" t="s">
        <v>566</v>
      </c>
      <c r="F136">
        <v>71924.850000000006</v>
      </c>
      <c r="G136" s="3">
        <v>43822</v>
      </c>
      <c r="H136">
        <v>1</v>
      </c>
      <c r="I136" t="s">
        <v>683</v>
      </c>
      <c r="J136" t="s">
        <v>690</v>
      </c>
      <c r="K136" t="s">
        <v>1277</v>
      </c>
    </row>
    <row r="137" spans="1:11" x14ac:dyDescent="0.25">
      <c r="A137" t="s">
        <v>154</v>
      </c>
      <c r="B137" t="s">
        <v>1278</v>
      </c>
      <c r="C137" t="s">
        <v>1279</v>
      </c>
      <c r="D137" t="s">
        <v>561</v>
      </c>
      <c r="E137" t="s">
        <v>565</v>
      </c>
      <c r="F137">
        <v>31241.24</v>
      </c>
      <c r="G137" s="3">
        <v>43725</v>
      </c>
      <c r="H137">
        <v>1</v>
      </c>
      <c r="I137" t="s">
        <v>683</v>
      </c>
      <c r="J137" t="s">
        <v>691</v>
      </c>
      <c r="K137" t="s">
        <v>838</v>
      </c>
    </row>
    <row r="138" spans="1:11" x14ac:dyDescent="0.25">
      <c r="A138" t="s">
        <v>155</v>
      </c>
      <c r="B138" t="s">
        <v>1280</v>
      </c>
      <c r="C138" t="s">
        <v>1281</v>
      </c>
      <c r="D138" t="s">
        <v>561</v>
      </c>
      <c r="E138" t="s">
        <v>563</v>
      </c>
      <c r="F138">
        <v>110042.37</v>
      </c>
      <c r="G138" s="3">
        <v>43914</v>
      </c>
      <c r="H138">
        <v>1</v>
      </c>
      <c r="I138" t="s">
        <v>683</v>
      </c>
      <c r="J138" t="s">
        <v>693</v>
      </c>
      <c r="K138" t="s">
        <v>1282</v>
      </c>
    </row>
    <row r="139" spans="1:11" x14ac:dyDescent="0.25">
      <c r="A139" t="s">
        <v>156</v>
      </c>
      <c r="B139" t="s">
        <v>1283</v>
      </c>
      <c r="C139" t="s">
        <v>1016</v>
      </c>
      <c r="D139" t="s">
        <v>560</v>
      </c>
      <c r="E139" t="s">
        <v>562</v>
      </c>
      <c r="F139">
        <v>37902.35</v>
      </c>
      <c r="G139" s="3">
        <v>43823</v>
      </c>
      <c r="H139">
        <v>1</v>
      </c>
      <c r="I139" t="s">
        <v>683</v>
      </c>
      <c r="J139" t="s">
        <v>691</v>
      </c>
      <c r="K139" t="s">
        <v>840</v>
      </c>
    </row>
    <row r="140" spans="1:11" x14ac:dyDescent="0.25">
      <c r="A140" t="s">
        <v>157</v>
      </c>
      <c r="B140" t="s">
        <v>1106</v>
      </c>
      <c r="C140" t="s">
        <v>1284</v>
      </c>
      <c r="D140" t="s">
        <v>560</v>
      </c>
      <c r="E140" t="s">
        <v>566</v>
      </c>
      <c r="F140">
        <v>33031.26</v>
      </c>
      <c r="G140" s="3">
        <v>43468</v>
      </c>
      <c r="H140">
        <v>0.4</v>
      </c>
      <c r="I140" t="s">
        <v>683</v>
      </c>
      <c r="J140" t="s">
        <v>686</v>
      </c>
      <c r="K140" t="s">
        <v>1285</v>
      </c>
    </row>
    <row r="141" spans="1:11" x14ac:dyDescent="0.25">
      <c r="A141" t="s">
        <v>158</v>
      </c>
      <c r="B141" t="s">
        <v>1075</v>
      </c>
      <c r="C141" t="s">
        <v>1286</v>
      </c>
      <c r="D141" t="s">
        <v>560</v>
      </c>
      <c r="E141" t="s">
        <v>564</v>
      </c>
      <c r="F141">
        <v>32496.880000000001</v>
      </c>
      <c r="G141" s="3">
        <v>43234</v>
      </c>
      <c r="H141">
        <v>1</v>
      </c>
      <c r="I141" t="s">
        <v>685</v>
      </c>
      <c r="J141" t="s">
        <v>687</v>
      </c>
      <c r="K141" t="s">
        <v>1287</v>
      </c>
    </row>
    <row r="142" spans="1:11" x14ac:dyDescent="0.25">
      <c r="A142" t="s">
        <v>159</v>
      </c>
      <c r="B142" t="s">
        <v>1288</v>
      </c>
      <c r="C142" t="s">
        <v>1002</v>
      </c>
      <c r="D142" t="s">
        <v>560</v>
      </c>
      <c r="E142" t="s">
        <v>565</v>
      </c>
      <c r="F142">
        <v>81897.789999999994</v>
      </c>
      <c r="G142" s="3">
        <v>43146</v>
      </c>
      <c r="H142">
        <v>1</v>
      </c>
      <c r="I142" t="s">
        <v>683</v>
      </c>
      <c r="J142" t="s">
        <v>690</v>
      </c>
      <c r="K142" t="s">
        <v>1289</v>
      </c>
    </row>
    <row r="143" spans="1:11" x14ac:dyDescent="0.25">
      <c r="A143" t="s">
        <v>160</v>
      </c>
      <c r="B143" t="s">
        <v>1273</v>
      </c>
      <c r="C143" t="s">
        <v>1290</v>
      </c>
      <c r="D143" t="s">
        <v>560</v>
      </c>
      <c r="E143" t="s">
        <v>562</v>
      </c>
      <c r="F143">
        <v>108872.77</v>
      </c>
      <c r="G143" s="3">
        <v>43521</v>
      </c>
      <c r="H143">
        <v>1</v>
      </c>
      <c r="I143" t="s">
        <v>683</v>
      </c>
      <c r="J143" t="s">
        <v>686</v>
      </c>
      <c r="K143" t="s">
        <v>1291</v>
      </c>
    </row>
    <row r="144" spans="1:11" x14ac:dyDescent="0.25">
      <c r="A144" t="s">
        <v>161</v>
      </c>
      <c r="B144" t="s">
        <v>1292</v>
      </c>
      <c r="C144" t="s">
        <v>1293</v>
      </c>
      <c r="D144" t="s">
        <v>560</v>
      </c>
      <c r="E144" t="s">
        <v>562</v>
      </c>
      <c r="F144">
        <v>89605.13</v>
      </c>
      <c r="G144" s="3">
        <v>43258</v>
      </c>
      <c r="H144">
        <v>1</v>
      </c>
      <c r="I144" t="s">
        <v>683</v>
      </c>
      <c r="J144" t="s">
        <v>686</v>
      </c>
      <c r="K144" t="s">
        <v>845</v>
      </c>
    </row>
    <row r="145" spans="1:11" x14ac:dyDescent="0.25">
      <c r="A145" t="s">
        <v>162</v>
      </c>
      <c r="B145" t="s">
        <v>1294</v>
      </c>
      <c r="C145" t="s">
        <v>1295</v>
      </c>
      <c r="D145" t="s">
        <v>561</v>
      </c>
      <c r="E145" t="s">
        <v>562</v>
      </c>
      <c r="F145">
        <v>63447.07</v>
      </c>
      <c r="G145" s="3">
        <v>44148</v>
      </c>
      <c r="H145">
        <v>1</v>
      </c>
      <c r="I145" t="s">
        <v>685</v>
      </c>
      <c r="J145" t="s">
        <v>691</v>
      </c>
      <c r="K145" t="s">
        <v>1296</v>
      </c>
    </row>
    <row r="146" spans="1:11" x14ac:dyDescent="0.25">
      <c r="A146" t="s">
        <v>163</v>
      </c>
      <c r="B146" t="s">
        <v>1297</v>
      </c>
      <c r="C146" t="s">
        <v>1298</v>
      </c>
      <c r="D146" t="s">
        <v>561</v>
      </c>
      <c r="E146" t="s">
        <v>566</v>
      </c>
      <c r="F146">
        <v>106665.67</v>
      </c>
      <c r="G146" s="3">
        <v>43311</v>
      </c>
      <c r="H146">
        <v>1</v>
      </c>
      <c r="I146" t="s">
        <v>685</v>
      </c>
      <c r="J146" t="s">
        <v>693</v>
      </c>
      <c r="K146" t="s">
        <v>1299</v>
      </c>
    </row>
    <row r="147" spans="1:11" x14ac:dyDescent="0.25">
      <c r="A147" t="s">
        <v>164</v>
      </c>
      <c r="B147" t="s">
        <v>1268</v>
      </c>
      <c r="C147" t="s">
        <v>1300</v>
      </c>
      <c r="D147" t="s">
        <v>561</v>
      </c>
      <c r="E147" t="s">
        <v>564</v>
      </c>
      <c r="F147">
        <v>100424.23</v>
      </c>
      <c r="G147" s="3">
        <v>43801</v>
      </c>
      <c r="H147">
        <v>1</v>
      </c>
      <c r="I147" t="s">
        <v>683</v>
      </c>
      <c r="J147" t="s">
        <v>688</v>
      </c>
      <c r="K147" t="s">
        <v>848</v>
      </c>
    </row>
    <row r="148" spans="1:11" x14ac:dyDescent="0.25">
      <c r="A148" t="s">
        <v>165</v>
      </c>
      <c r="B148" t="s">
        <v>972</v>
      </c>
      <c r="C148" t="s">
        <v>1069</v>
      </c>
      <c r="D148" t="s">
        <v>560</v>
      </c>
      <c r="E148" t="s">
        <v>567</v>
      </c>
      <c r="F148">
        <v>47646.95</v>
      </c>
      <c r="G148" s="3">
        <v>43791</v>
      </c>
      <c r="H148">
        <v>0.3</v>
      </c>
      <c r="I148" t="s">
        <v>684</v>
      </c>
      <c r="J148" t="s">
        <v>690</v>
      </c>
      <c r="K148" t="s">
        <v>1301</v>
      </c>
    </row>
    <row r="149" spans="1:11" x14ac:dyDescent="0.25">
      <c r="A149" t="s">
        <v>166</v>
      </c>
      <c r="B149" t="s">
        <v>1302</v>
      </c>
      <c r="C149" t="s">
        <v>1303</v>
      </c>
      <c r="D149" t="s">
        <v>561</v>
      </c>
      <c r="E149" t="s">
        <v>563</v>
      </c>
      <c r="F149">
        <v>28481.16</v>
      </c>
      <c r="G149" s="3">
        <v>43916</v>
      </c>
      <c r="H149">
        <v>1</v>
      </c>
      <c r="I149" t="s">
        <v>683</v>
      </c>
      <c r="J149" t="s">
        <v>687</v>
      </c>
      <c r="K149" t="s">
        <v>1304</v>
      </c>
    </row>
    <row r="150" spans="1:11" x14ac:dyDescent="0.25">
      <c r="A150" t="s">
        <v>168</v>
      </c>
      <c r="B150" t="s">
        <v>1305</v>
      </c>
      <c r="C150" t="s">
        <v>1306</v>
      </c>
      <c r="D150" t="s">
        <v>560</v>
      </c>
      <c r="E150" t="s">
        <v>562</v>
      </c>
      <c r="F150">
        <v>39535.49</v>
      </c>
      <c r="G150" s="3">
        <v>43397</v>
      </c>
      <c r="H150">
        <v>0.3</v>
      </c>
      <c r="I150" t="s">
        <v>683</v>
      </c>
      <c r="J150" t="s">
        <v>691</v>
      </c>
      <c r="K150" t="s">
        <v>1307</v>
      </c>
    </row>
    <row r="151" spans="1:11" x14ac:dyDescent="0.25">
      <c r="A151" t="s">
        <v>169</v>
      </c>
      <c r="B151" t="s">
        <v>1308</v>
      </c>
      <c r="C151" t="s">
        <v>1298</v>
      </c>
      <c r="D151" t="s">
        <v>561</v>
      </c>
      <c r="E151" t="s">
        <v>562</v>
      </c>
      <c r="F151">
        <v>95017.1</v>
      </c>
      <c r="G151" s="3">
        <v>43283</v>
      </c>
      <c r="H151">
        <v>1</v>
      </c>
      <c r="I151" t="s">
        <v>684</v>
      </c>
      <c r="J151" t="s">
        <v>687</v>
      </c>
      <c r="K151" t="s">
        <v>1309</v>
      </c>
    </row>
    <row r="152" spans="1:11" x14ac:dyDescent="0.25">
      <c r="A152" t="s">
        <v>170</v>
      </c>
      <c r="B152" t="s">
        <v>1169</v>
      </c>
      <c r="C152" t="s">
        <v>1310</v>
      </c>
      <c r="D152" t="s">
        <v>561</v>
      </c>
      <c r="E152" t="s">
        <v>567</v>
      </c>
      <c r="F152">
        <v>69764.100000000006</v>
      </c>
      <c r="G152" s="3">
        <v>44195</v>
      </c>
      <c r="H152">
        <v>1</v>
      </c>
      <c r="I152" t="s">
        <v>684</v>
      </c>
      <c r="J152" t="s">
        <v>686</v>
      </c>
      <c r="K152" t="s">
        <v>1311</v>
      </c>
    </row>
    <row r="153" spans="1:11" x14ac:dyDescent="0.25">
      <c r="A153" t="s">
        <v>171</v>
      </c>
      <c r="B153" t="s">
        <v>1312</v>
      </c>
      <c r="C153" t="s">
        <v>1143</v>
      </c>
      <c r="D153" t="s">
        <v>560</v>
      </c>
      <c r="E153" t="s">
        <v>562</v>
      </c>
      <c r="F153">
        <v>84598.88</v>
      </c>
      <c r="G153" s="3">
        <v>44116</v>
      </c>
      <c r="H153">
        <v>1</v>
      </c>
      <c r="I153" t="s">
        <v>684</v>
      </c>
      <c r="J153" t="s">
        <v>688</v>
      </c>
      <c r="K153" t="s">
        <v>1313</v>
      </c>
    </row>
    <row r="154" spans="1:11" x14ac:dyDescent="0.25">
      <c r="A154" t="s">
        <v>172</v>
      </c>
      <c r="B154" t="s">
        <v>1314</v>
      </c>
      <c r="C154" t="s">
        <v>1315</v>
      </c>
      <c r="D154" t="s">
        <v>561</v>
      </c>
      <c r="E154" t="s">
        <v>566</v>
      </c>
      <c r="F154">
        <v>36536.26</v>
      </c>
      <c r="G154" s="3">
        <v>44358</v>
      </c>
      <c r="H154">
        <v>1</v>
      </c>
      <c r="I154" t="s">
        <v>685</v>
      </c>
      <c r="J154" t="s">
        <v>693</v>
      </c>
      <c r="K154" t="s">
        <v>1316</v>
      </c>
    </row>
    <row r="155" spans="1:11" x14ac:dyDescent="0.25">
      <c r="A155" t="s">
        <v>173</v>
      </c>
      <c r="B155" t="s">
        <v>1317</v>
      </c>
      <c r="C155" t="s">
        <v>1041</v>
      </c>
      <c r="D155" t="s">
        <v>560</v>
      </c>
      <c r="E155" t="s">
        <v>566</v>
      </c>
      <c r="F155">
        <v>61688.77</v>
      </c>
      <c r="G155" s="3">
        <v>43346</v>
      </c>
      <c r="H155">
        <v>0.9</v>
      </c>
      <c r="I155" t="s">
        <v>683</v>
      </c>
      <c r="J155" t="s">
        <v>691</v>
      </c>
      <c r="K155" t="s">
        <v>1318</v>
      </c>
    </row>
    <row r="156" spans="1:11" x14ac:dyDescent="0.25">
      <c r="A156" t="s">
        <v>175</v>
      </c>
      <c r="B156" t="s">
        <v>1319</v>
      </c>
      <c r="C156" t="s">
        <v>1310</v>
      </c>
      <c r="D156" t="s">
        <v>560</v>
      </c>
      <c r="E156" t="s">
        <v>562</v>
      </c>
      <c r="F156">
        <v>88425.08</v>
      </c>
      <c r="G156" s="3">
        <v>43662</v>
      </c>
      <c r="H156">
        <v>1</v>
      </c>
      <c r="I156" t="s">
        <v>683</v>
      </c>
      <c r="J156" t="s">
        <v>692</v>
      </c>
      <c r="K156" t="s">
        <v>859</v>
      </c>
    </row>
    <row r="157" spans="1:11" x14ac:dyDescent="0.25">
      <c r="A157" t="s">
        <v>176</v>
      </c>
      <c r="B157" t="s">
        <v>1202</v>
      </c>
      <c r="C157" t="s">
        <v>1298</v>
      </c>
      <c r="D157" t="s">
        <v>560</v>
      </c>
      <c r="E157" t="s">
        <v>565</v>
      </c>
      <c r="F157">
        <v>38438.239999999998</v>
      </c>
      <c r="G157" s="3">
        <v>43962</v>
      </c>
      <c r="H157">
        <v>1</v>
      </c>
      <c r="I157" t="s">
        <v>683</v>
      </c>
      <c r="J157" t="s">
        <v>690</v>
      </c>
      <c r="K157" t="s">
        <v>1320</v>
      </c>
    </row>
    <row r="158" spans="1:11" x14ac:dyDescent="0.25">
      <c r="A158" t="s">
        <v>177</v>
      </c>
      <c r="B158" t="s">
        <v>1321</v>
      </c>
      <c r="C158" t="s">
        <v>1060</v>
      </c>
      <c r="D158" t="s">
        <v>560</v>
      </c>
      <c r="E158" t="s">
        <v>567</v>
      </c>
      <c r="F158">
        <v>96753.78</v>
      </c>
      <c r="G158" s="3">
        <v>44494</v>
      </c>
      <c r="H158">
        <v>1</v>
      </c>
      <c r="I158" t="s">
        <v>683</v>
      </c>
      <c r="J158" t="s">
        <v>691</v>
      </c>
      <c r="K158" t="s">
        <v>1322</v>
      </c>
    </row>
    <row r="159" spans="1:11" x14ac:dyDescent="0.25">
      <c r="A159" t="s">
        <v>178</v>
      </c>
      <c r="B159" t="s">
        <v>1323</v>
      </c>
      <c r="C159" t="s">
        <v>1324</v>
      </c>
      <c r="D159" t="s">
        <v>560</v>
      </c>
      <c r="E159" t="s">
        <v>569</v>
      </c>
      <c r="F159">
        <v>112778.28</v>
      </c>
      <c r="G159" s="3">
        <v>43250</v>
      </c>
      <c r="H159">
        <v>1</v>
      </c>
      <c r="I159" t="s">
        <v>684</v>
      </c>
      <c r="J159" t="s">
        <v>686</v>
      </c>
      <c r="K159" t="s">
        <v>1325</v>
      </c>
    </row>
    <row r="160" spans="1:11" x14ac:dyDescent="0.25">
      <c r="A160" t="s">
        <v>179</v>
      </c>
      <c r="B160" t="s">
        <v>1326</v>
      </c>
      <c r="C160" t="s">
        <v>1327</v>
      </c>
      <c r="D160" t="s">
        <v>560</v>
      </c>
      <c r="E160" t="s">
        <v>562</v>
      </c>
      <c r="F160">
        <v>28974.03</v>
      </c>
      <c r="G160" s="3">
        <v>43733</v>
      </c>
      <c r="H160">
        <v>1</v>
      </c>
      <c r="I160" t="s">
        <v>683</v>
      </c>
      <c r="J160" t="s">
        <v>691</v>
      </c>
      <c r="K160" t="s">
        <v>863</v>
      </c>
    </row>
    <row r="161" spans="1:11" x14ac:dyDescent="0.25">
      <c r="A161" t="s">
        <v>180</v>
      </c>
      <c r="B161" t="s">
        <v>1328</v>
      </c>
      <c r="C161" t="s">
        <v>1329</v>
      </c>
      <c r="D161" t="s">
        <v>560</v>
      </c>
      <c r="E161" t="s">
        <v>568</v>
      </c>
      <c r="F161">
        <v>86233.83</v>
      </c>
      <c r="G161" s="3">
        <v>43706</v>
      </c>
      <c r="H161">
        <v>1</v>
      </c>
      <c r="I161" t="s">
        <v>684</v>
      </c>
      <c r="J161" t="s">
        <v>691</v>
      </c>
      <c r="K161" t="s">
        <v>864</v>
      </c>
    </row>
    <row r="162" spans="1:11" x14ac:dyDescent="0.25">
      <c r="A162" t="s">
        <v>181</v>
      </c>
      <c r="B162" t="s">
        <v>1330</v>
      </c>
      <c r="C162" t="s">
        <v>1181</v>
      </c>
      <c r="D162" t="s">
        <v>560</v>
      </c>
      <c r="E162" t="s">
        <v>566</v>
      </c>
      <c r="F162">
        <v>66865.490000000005</v>
      </c>
      <c r="G162" s="3">
        <v>43514</v>
      </c>
      <c r="H162">
        <v>1</v>
      </c>
      <c r="I162" t="s">
        <v>683</v>
      </c>
      <c r="J162" t="s">
        <v>690</v>
      </c>
      <c r="K162" t="s">
        <v>1331</v>
      </c>
    </row>
    <row r="163" spans="1:11" x14ac:dyDescent="0.25">
      <c r="A163" t="s">
        <v>182</v>
      </c>
      <c r="B163" t="s">
        <v>974</v>
      </c>
      <c r="C163" t="s">
        <v>1332</v>
      </c>
      <c r="D163" t="s">
        <v>561</v>
      </c>
      <c r="E163" t="s">
        <v>563</v>
      </c>
      <c r="F163">
        <v>119022.49</v>
      </c>
      <c r="G163" s="3">
        <v>44431</v>
      </c>
      <c r="H163">
        <v>1</v>
      </c>
      <c r="I163" t="s">
        <v>683</v>
      </c>
      <c r="J163" t="s">
        <v>686</v>
      </c>
      <c r="K163" t="s">
        <v>866</v>
      </c>
    </row>
    <row r="164" spans="1:11" x14ac:dyDescent="0.25">
      <c r="A164" t="s">
        <v>183</v>
      </c>
      <c r="B164" t="s">
        <v>1227</v>
      </c>
      <c r="C164" t="s">
        <v>1333</v>
      </c>
      <c r="D164" t="s">
        <v>561</v>
      </c>
      <c r="E164" t="s">
        <v>566</v>
      </c>
      <c r="F164">
        <v>114177.23</v>
      </c>
      <c r="G164" s="3">
        <v>43908</v>
      </c>
      <c r="H164">
        <v>1</v>
      </c>
      <c r="I164" t="s">
        <v>683</v>
      </c>
      <c r="J164" t="s">
        <v>688</v>
      </c>
      <c r="K164" t="s">
        <v>1334</v>
      </c>
    </row>
    <row r="165" spans="1:11" x14ac:dyDescent="0.25">
      <c r="A165" t="s">
        <v>184</v>
      </c>
      <c r="B165" t="s">
        <v>1253</v>
      </c>
      <c r="C165" t="s">
        <v>1071</v>
      </c>
      <c r="D165" t="s">
        <v>560</v>
      </c>
      <c r="E165" t="s">
        <v>567</v>
      </c>
      <c r="F165">
        <v>100731.95</v>
      </c>
      <c r="G165" s="3">
        <v>43936</v>
      </c>
      <c r="H165">
        <v>1</v>
      </c>
      <c r="I165" t="s">
        <v>683</v>
      </c>
      <c r="J165" t="s">
        <v>692</v>
      </c>
      <c r="K165" t="s">
        <v>1335</v>
      </c>
    </row>
    <row r="166" spans="1:11" x14ac:dyDescent="0.25">
      <c r="A166" t="s">
        <v>185</v>
      </c>
      <c r="B166" t="s">
        <v>1319</v>
      </c>
      <c r="C166" t="s">
        <v>1336</v>
      </c>
      <c r="D166" t="s">
        <v>561</v>
      </c>
      <c r="E166" t="s">
        <v>566</v>
      </c>
      <c r="F166">
        <v>86010.54</v>
      </c>
      <c r="G166" s="3">
        <v>43164</v>
      </c>
      <c r="H166">
        <v>1</v>
      </c>
      <c r="I166" t="s">
        <v>683</v>
      </c>
      <c r="J166" t="s">
        <v>692</v>
      </c>
      <c r="K166" t="s">
        <v>1337</v>
      </c>
    </row>
    <row r="167" spans="1:11" x14ac:dyDescent="0.25">
      <c r="A167" t="s">
        <v>186</v>
      </c>
      <c r="B167" t="s">
        <v>1338</v>
      </c>
      <c r="C167" t="s">
        <v>1015</v>
      </c>
      <c r="D167" t="s">
        <v>560</v>
      </c>
      <c r="E167" t="s">
        <v>567</v>
      </c>
      <c r="F167">
        <v>52270.22</v>
      </c>
      <c r="G167" s="3">
        <v>43521</v>
      </c>
      <c r="H167">
        <v>0.3</v>
      </c>
      <c r="I167" t="s">
        <v>683</v>
      </c>
      <c r="J167" t="s">
        <v>689</v>
      </c>
      <c r="K167" t="s">
        <v>1339</v>
      </c>
    </row>
    <row r="168" spans="1:11" x14ac:dyDescent="0.25">
      <c r="A168" t="s">
        <v>187</v>
      </c>
      <c r="B168" t="s">
        <v>1340</v>
      </c>
      <c r="C168" t="s">
        <v>1341</v>
      </c>
      <c r="D168" t="s">
        <v>560</v>
      </c>
      <c r="E168" t="s">
        <v>568</v>
      </c>
      <c r="F168">
        <v>61624.77</v>
      </c>
      <c r="G168" s="3">
        <v>43430</v>
      </c>
      <c r="H168">
        <v>0.3</v>
      </c>
      <c r="I168" t="s">
        <v>684</v>
      </c>
      <c r="J168" t="s">
        <v>691</v>
      </c>
      <c r="K168" t="s">
        <v>1342</v>
      </c>
    </row>
    <row r="169" spans="1:11" x14ac:dyDescent="0.25">
      <c r="A169" t="s">
        <v>188</v>
      </c>
      <c r="B169" t="s">
        <v>1312</v>
      </c>
      <c r="C169" t="s">
        <v>1343</v>
      </c>
      <c r="D169" t="s">
        <v>561</v>
      </c>
      <c r="E169" t="s">
        <v>566</v>
      </c>
      <c r="F169">
        <v>104903.79</v>
      </c>
      <c r="G169" s="3">
        <v>43649</v>
      </c>
      <c r="H169">
        <v>1</v>
      </c>
      <c r="I169" t="s">
        <v>683</v>
      </c>
      <c r="J169" t="s">
        <v>693</v>
      </c>
      <c r="K169" t="s">
        <v>1344</v>
      </c>
    </row>
    <row r="170" spans="1:11" x14ac:dyDescent="0.25">
      <c r="A170" t="s">
        <v>189</v>
      </c>
      <c r="B170" t="s">
        <v>1345</v>
      </c>
      <c r="C170" t="s">
        <v>1025</v>
      </c>
      <c r="D170" t="s">
        <v>561</v>
      </c>
      <c r="E170" t="s">
        <v>567</v>
      </c>
      <c r="F170">
        <v>69057.320000000007</v>
      </c>
      <c r="G170" s="3">
        <v>43390</v>
      </c>
      <c r="H170">
        <v>1</v>
      </c>
      <c r="I170" t="s">
        <v>683</v>
      </c>
      <c r="J170" t="s">
        <v>691</v>
      </c>
      <c r="K170" t="s">
        <v>1346</v>
      </c>
    </row>
    <row r="171" spans="1:11" x14ac:dyDescent="0.25">
      <c r="A171" t="s">
        <v>190</v>
      </c>
      <c r="B171" t="s">
        <v>1347</v>
      </c>
      <c r="C171" t="s">
        <v>1348</v>
      </c>
      <c r="D171" t="s">
        <v>561</v>
      </c>
      <c r="E171" t="s">
        <v>562</v>
      </c>
      <c r="F171">
        <v>59258.19</v>
      </c>
      <c r="G171" s="3">
        <v>43452</v>
      </c>
      <c r="H171">
        <v>0.8</v>
      </c>
      <c r="I171" t="s">
        <v>683</v>
      </c>
      <c r="J171" t="s">
        <v>690</v>
      </c>
      <c r="K171" t="s">
        <v>1349</v>
      </c>
    </row>
    <row r="172" spans="1:11" x14ac:dyDescent="0.25">
      <c r="A172" t="s">
        <v>191</v>
      </c>
      <c r="B172" t="s">
        <v>1278</v>
      </c>
      <c r="C172" t="s">
        <v>1350</v>
      </c>
      <c r="D172" t="s">
        <v>560</v>
      </c>
      <c r="E172" t="s">
        <v>568</v>
      </c>
      <c r="F172">
        <v>28160.79</v>
      </c>
      <c r="G172" s="3">
        <v>43129</v>
      </c>
      <c r="H172">
        <v>1</v>
      </c>
      <c r="I172" t="s">
        <v>685</v>
      </c>
      <c r="J172" t="s">
        <v>692</v>
      </c>
      <c r="K172" t="s">
        <v>875</v>
      </c>
    </row>
    <row r="173" spans="1:11" x14ac:dyDescent="0.25">
      <c r="A173" t="s">
        <v>192</v>
      </c>
      <c r="B173" t="s">
        <v>1351</v>
      </c>
      <c r="C173" t="s">
        <v>1352</v>
      </c>
      <c r="D173" t="s">
        <v>561</v>
      </c>
      <c r="E173" t="s">
        <v>564</v>
      </c>
      <c r="F173">
        <v>109143.17</v>
      </c>
      <c r="G173" s="3">
        <v>43945</v>
      </c>
      <c r="H173">
        <v>1</v>
      </c>
      <c r="I173" t="s">
        <v>683</v>
      </c>
      <c r="J173" t="s">
        <v>686</v>
      </c>
      <c r="K173" t="s">
        <v>1353</v>
      </c>
    </row>
    <row r="174" spans="1:11" x14ac:dyDescent="0.25">
      <c r="A174" t="s">
        <v>193</v>
      </c>
      <c r="B174" t="s">
        <v>974</v>
      </c>
      <c r="C174" t="s">
        <v>1208</v>
      </c>
      <c r="D174" t="s">
        <v>561</v>
      </c>
      <c r="E174" t="s">
        <v>568</v>
      </c>
      <c r="F174">
        <v>70755.5</v>
      </c>
      <c r="G174" s="3">
        <v>44090</v>
      </c>
      <c r="H174">
        <v>0.8</v>
      </c>
      <c r="I174" t="s">
        <v>685</v>
      </c>
      <c r="J174" t="s">
        <v>693</v>
      </c>
      <c r="K174" t="s">
        <v>1354</v>
      </c>
    </row>
    <row r="175" spans="1:11" x14ac:dyDescent="0.25">
      <c r="A175" t="s">
        <v>194</v>
      </c>
      <c r="B175" t="s">
        <v>1355</v>
      </c>
      <c r="C175" t="s">
        <v>1356</v>
      </c>
      <c r="D175" t="s">
        <v>561</v>
      </c>
      <c r="E175" t="s">
        <v>564</v>
      </c>
      <c r="F175">
        <v>73360.38</v>
      </c>
      <c r="G175" s="3">
        <v>43972</v>
      </c>
      <c r="H175">
        <v>1</v>
      </c>
      <c r="I175" t="s">
        <v>685</v>
      </c>
      <c r="J175" t="s">
        <v>690</v>
      </c>
      <c r="K175" t="s">
        <v>1357</v>
      </c>
    </row>
    <row r="176" spans="1:11" x14ac:dyDescent="0.25">
      <c r="A176" t="s">
        <v>195</v>
      </c>
      <c r="B176" t="s">
        <v>1358</v>
      </c>
      <c r="C176" t="s">
        <v>1359</v>
      </c>
      <c r="D176" t="s">
        <v>560</v>
      </c>
      <c r="E176" t="s">
        <v>562</v>
      </c>
      <c r="F176">
        <v>76303.820000000007</v>
      </c>
      <c r="G176" s="3">
        <v>43458</v>
      </c>
      <c r="H176">
        <v>1</v>
      </c>
      <c r="I176" t="s">
        <v>684</v>
      </c>
      <c r="J176" t="s">
        <v>693</v>
      </c>
      <c r="K176" t="s">
        <v>879</v>
      </c>
    </row>
    <row r="177" spans="1:11" x14ac:dyDescent="0.25">
      <c r="A177" t="s">
        <v>196</v>
      </c>
      <c r="B177" t="s">
        <v>1360</v>
      </c>
      <c r="C177" t="s">
        <v>1361</v>
      </c>
      <c r="D177" t="s">
        <v>561</v>
      </c>
      <c r="E177" t="s">
        <v>563</v>
      </c>
      <c r="F177">
        <v>58861.19</v>
      </c>
      <c r="G177" s="3">
        <v>43654</v>
      </c>
      <c r="H177">
        <v>1</v>
      </c>
      <c r="I177" t="s">
        <v>683</v>
      </c>
      <c r="J177" t="s">
        <v>692</v>
      </c>
      <c r="K177" t="s">
        <v>1362</v>
      </c>
    </row>
    <row r="178" spans="1:11" x14ac:dyDescent="0.25">
      <c r="A178" t="s">
        <v>197</v>
      </c>
      <c r="B178" t="s">
        <v>1171</v>
      </c>
      <c r="C178" t="s">
        <v>1363</v>
      </c>
      <c r="D178" t="s">
        <v>561</v>
      </c>
      <c r="E178" t="s">
        <v>565</v>
      </c>
      <c r="F178">
        <v>58744.17</v>
      </c>
      <c r="G178" s="3">
        <v>43171</v>
      </c>
      <c r="H178">
        <v>1</v>
      </c>
      <c r="I178" t="s">
        <v>685</v>
      </c>
      <c r="J178" t="s">
        <v>691</v>
      </c>
      <c r="K178" t="s">
        <v>1364</v>
      </c>
    </row>
    <row r="179" spans="1:11" x14ac:dyDescent="0.25">
      <c r="A179" t="s">
        <v>198</v>
      </c>
      <c r="B179" t="s">
        <v>1292</v>
      </c>
      <c r="C179" t="s">
        <v>1246</v>
      </c>
      <c r="D179" t="s">
        <v>561</v>
      </c>
      <c r="E179" t="s">
        <v>565</v>
      </c>
      <c r="F179">
        <v>73488.679999999993</v>
      </c>
      <c r="G179" s="3">
        <v>43570</v>
      </c>
      <c r="H179">
        <v>1</v>
      </c>
      <c r="I179" t="s">
        <v>684</v>
      </c>
      <c r="J179" t="s">
        <v>686</v>
      </c>
      <c r="K179" t="s">
        <v>1365</v>
      </c>
    </row>
    <row r="180" spans="1:11" x14ac:dyDescent="0.25">
      <c r="A180" t="s">
        <v>199</v>
      </c>
      <c r="B180" t="s">
        <v>1366</v>
      </c>
      <c r="C180" t="s">
        <v>1367</v>
      </c>
      <c r="D180" t="s">
        <v>560</v>
      </c>
      <c r="E180" t="s">
        <v>568</v>
      </c>
      <c r="F180">
        <v>92704.48</v>
      </c>
      <c r="G180" s="3">
        <v>43430</v>
      </c>
      <c r="H180">
        <v>1</v>
      </c>
      <c r="I180" t="s">
        <v>684</v>
      </c>
      <c r="J180" t="s">
        <v>692</v>
      </c>
      <c r="K180" t="s">
        <v>883</v>
      </c>
    </row>
    <row r="181" spans="1:11" x14ac:dyDescent="0.25">
      <c r="A181" t="s">
        <v>200</v>
      </c>
      <c r="B181" t="s">
        <v>1368</v>
      </c>
      <c r="C181" t="s">
        <v>1164</v>
      </c>
      <c r="D181" t="s">
        <v>561</v>
      </c>
      <c r="E181" t="s">
        <v>562</v>
      </c>
      <c r="F181">
        <v>78443.78</v>
      </c>
      <c r="G181" s="3">
        <v>43599</v>
      </c>
      <c r="H181">
        <v>1</v>
      </c>
      <c r="I181" t="s">
        <v>684</v>
      </c>
      <c r="J181" t="s">
        <v>686</v>
      </c>
      <c r="K181" t="s">
        <v>884</v>
      </c>
    </row>
    <row r="182" spans="1:11" x14ac:dyDescent="0.25">
      <c r="A182" t="s">
        <v>201</v>
      </c>
      <c r="B182" t="s">
        <v>1369</v>
      </c>
      <c r="C182" t="s">
        <v>1370</v>
      </c>
      <c r="D182" t="s">
        <v>560</v>
      </c>
      <c r="E182" t="s">
        <v>567</v>
      </c>
      <c r="F182">
        <v>97105.19</v>
      </c>
      <c r="G182" s="3">
        <v>44425</v>
      </c>
      <c r="H182">
        <v>1</v>
      </c>
      <c r="I182" t="s">
        <v>683</v>
      </c>
      <c r="J182" t="s">
        <v>686</v>
      </c>
      <c r="K182" t="s">
        <v>885</v>
      </c>
    </row>
    <row r="183" spans="1:11" x14ac:dyDescent="0.25">
      <c r="A183" t="s">
        <v>202</v>
      </c>
      <c r="B183" t="s">
        <v>1371</v>
      </c>
      <c r="C183" t="s">
        <v>1372</v>
      </c>
      <c r="D183" t="s">
        <v>561</v>
      </c>
      <c r="E183" t="s">
        <v>563</v>
      </c>
      <c r="F183">
        <v>109163.39</v>
      </c>
      <c r="G183" s="3">
        <v>44019</v>
      </c>
      <c r="H183">
        <v>0.8</v>
      </c>
      <c r="I183" t="s">
        <v>683</v>
      </c>
      <c r="J183" t="s">
        <v>688</v>
      </c>
      <c r="K183" t="s">
        <v>886</v>
      </c>
    </row>
    <row r="184" spans="1:11" x14ac:dyDescent="0.25">
      <c r="A184" t="s">
        <v>203</v>
      </c>
      <c r="B184" t="s">
        <v>1373</v>
      </c>
      <c r="C184" t="s">
        <v>994</v>
      </c>
      <c r="D184" t="s">
        <v>561</v>
      </c>
      <c r="E184" t="s">
        <v>567</v>
      </c>
      <c r="F184">
        <v>31816.57</v>
      </c>
      <c r="G184" s="3">
        <v>43497</v>
      </c>
      <c r="H184">
        <v>0.3</v>
      </c>
      <c r="I184" t="s">
        <v>684</v>
      </c>
      <c r="J184" t="s">
        <v>687</v>
      </c>
      <c r="K184" t="s">
        <v>887</v>
      </c>
    </row>
    <row r="185" spans="1:11" x14ac:dyDescent="0.25">
      <c r="A185" t="s">
        <v>204</v>
      </c>
      <c r="B185" t="s">
        <v>974</v>
      </c>
      <c r="C185" t="s">
        <v>1374</v>
      </c>
      <c r="D185" t="s">
        <v>560</v>
      </c>
      <c r="E185" t="s">
        <v>564</v>
      </c>
      <c r="F185">
        <v>118442.54</v>
      </c>
      <c r="G185" s="3">
        <v>44193</v>
      </c>
      <c r="H185">
        <v>1</v>
      </c>
      <c r="I185" t="s">
        <v>683</v>
      </c>
      <c r="J185" t="s">
        <v>693</v>
      </c>
      <c r="K185" t="s">
        <v>888</v>
      </c>
    </row>
    <row r="186" spans="1:11" x14ac:dyDescent="0.25">
      <c r="A186" t="s">
        <v>205</v>
      </c>
      <c r="B186" t="s">
        <v>1375</v>
      </c>
      <c r="C186" t="s">
        <v>999</v>
      </c>
      <c r="D186" t="s">
        <v>561</v>
      </c>
      <c r="E186" t="s">
        <v>565</v>
      </c>
      <c r="F186">
        <v>84745.93</v>
      </c>
      <c r="G186" s="3">
        <v>43707</v>
      </c>
      <c r="H186">
        <v>1</v>
      </c>
      <c r="I186" t="s">
        <v>683</v>
      </c>
      <c r="J186" t="s">
        <v>688</v>
      </c>
      <c r="K186" t="s">
        <v>1376</v>
      </c>
    </row>
    <row r="187" spans="1:11" x14ac:dyDescent="0.25">
      <c r="A187" t="s">
        <v>206</v>
      </c>
      <c r="B187" t="s">
        <v>1137</v>
      </c>
      <c r="C187" t="s">
        <v>1377</v>
      </c>
      <c r="D187" t="s">
        <v>560</v>
      </c>
      <c r="E187" t="s">
        <v>562</v>
      </c>
      <c r="F187">
        <v>69163.39</v>
      </c>
      <c r="G187" s="3">
        <v>43397</v>
      </c>
      <c r="H187">
        <v>1</v>
      </c>
      <c r="I187" t="s">
        <v>683</v>
      </c>
      <c r="J187" t="s">
        <v>688</v>
      </c>
      <c r="K187" t="s">
        <v>1378</v>
      </c>
    </row>
    <row r="188" spans="1:11" x14ac:dyDescent="0.25">
      <c r="A188" t="s">
        <v>207</v>
      </c>
      <c r="B188" t="s">
        <v>1060</v>
      </c>
      <c r="C188" t="s">
        <v>1379</v>
      </c>
      <c r="D188" t="s">
        <v>560</v>
      </c>
      <c r="E188" t="s">
        <v>562</v>
      </c>
      <c r="F188">
        <v>84598.88</v>
      </c>
      <c r="G188" s="3">
        <v>44116</v>
      </c>
      <c r="H188">
        <v>1</v>
      </c>
      <c r="I188" t="s">
        <v>684</v>
      </c>
      <c r="J188" t="s">
        <v>689</v>
      </c>
      <c r="K188" t="s">
        <v>891</v>
      </c>
    </row>
    <row r="189" spans="1:11" x14ac:dyDescent="0.25">
      <c r="A189" t="s">
        <v>208</v>
      </c>
      <c r="B189" t="s">
        <v>1380</v>
      </c>
      <c r="C189" t="s">
        <v>1381</v>
      </c>
      <c r="D189" t="s">
        <v>561</v>
      </c>
      <c r="E189" t="s">
        <v>564</v>
      </c>
      <c r="F189">
        <v>68795.48</v>
      </c>
      <c r="G189" s="3">
        <v>44277</v>
      </c>
      <c r="H189">
        <v>0.2</v>
      </c>
      <c r="I189" t="s">
        <v>683</v>
      </c>
      <c r="J189" t="s">
        <v>693</v>
      </c>
      <c r="K189" t="s">
        <v>1382</v>
      </c>
    </row>
    <row r="190" spans="1:11" x14ac:dyDescent="0.25">
      <c r="A190" t="s">
        <v>209</v>
      </c>
      <c r="B190" t="s">
        <v>974</v>
      </c>
      <c r="C190" t="s">
        <v>1002</v>
      </c>
      <c r="D190" t="s">
        <v>560</v>
      </c>
      <c r="E190" t="s">
        <v>562</v>
      </c>
      <c r="F190">
        <v>32269.91</v>
      </c>
      <c r="G190" s="3">
        <v>43346</v>
      </c>
      <c r="H190">
        <v>1</v>
      </c>
      <c r="I190" t="s">
        <v>683</v>
      </c>
      <c r="J190" t="s">
        <v>692</v>
      </c>
      <c r="K190" t="s">
        <v>893</v>
      </c>
    </row>
    <row r="191" spans="1:11" x14ac:dyDescent="0.25">
      <c r="A191" t="s">
        <v>210</v>
      </c>
      <c r="B191" t="s">
        <v>1383</v>
      </c>
      <c r="C191" t="s">
        <v>1384</v>
      </c>
      <c r="D191" t="s">
        <v>560</v>
      </c>
      <c r="E191" t="s">
        <v>566</v>
      </c>
      <c r="F191">
        <v>78705.929999999993</v>
      </c>
      <c r="G191" s="3">
        <v>43409</v>
      </c>
      <c r="H191">
        <v>1</v>
      </c>
      <c r="I191" t="s">
        <v>684</v>
      </c>
      <c r="J191" t="s">
        <v>689</v>
      </c>
      <c r="K191" t="s">
        <v>1385</v>
      </c>
    </row>
    <row r="192" spans="1:11" x14ac:dyDescent="0.25">
      <c r="A192" t="s">
        <v>211</v>
      </c>
      <c r="B192" t="s">
        <v>1232</v>
      </c>
      <c r="C192" t="s">
        <v>1386</v>
      </c>
      <c r="D192" t="s">
        <v>561</v>
      </c>
      <c r="E192" t="s">
        <v>567</v>
      </c>
      <c r="F192">
        <v>53535.62</v>
      </c>
      <c r="G192" s="3">
        <v>44110</v>
      </c>
      <c r="H192">
        <v>0.5</v>
      </c>
      <c r="I192" t="s">
        <v>684</v>
      </c>
      <c r="J192" t="s">
        <v>687</v>
      </c>
      <c r="K192" t="s">
        <v>1387</v>
      </c>
    </row>
    <row r="193" spans="1:11" x14ac:dyDescent="0.25">
      <c r="A193" t="s">
        <v>212</v>
      </c>
      <c r="B193" t="s">
        <v>1006</v>
      </c>
      <c r="C193" t="s">
        <v>1388</v>
      </c>
      <c r="D193" t="s">
        <v>560</v>
      </c>
      <c r="E193" t="s">
        <v>567</v>
      </c>
      <c r="F193">
        <v>41934.71</v>
      </c>
      <c r="G193" s="3">
        <v>43780</v>
      </c>
      <c r="H193">
        <v>1</v>
      </c>
      <c r="I193" t="s">
        <v>683</v>
      </c>
      <c r="J193" t="s">
        <v>692</v>
      </c>
      <c r="K193" t="s">
        <v>1389</v>
      </c>
    </row>
    <row r="194" spans="1:11" x14ac:dyDescent="0.25">
      <c r="A194" t="s">
        <v>213</v>
      </c>
      <c r="B194" t="s">
        <v>1305</v>
      </c>
      <c r="C194" t="s">
        <v>1310</v>
      </c>
      <c r="D194" t="s">
        <v>560</v>
      </c>
      <c r="E194" t="s">
        <v>568</v>
      </c>
      <c r="F194">
        <v>91929.69</v>
      </c>
      <c r="G194" s="3">
        <v>44085</v>
      </c>
      <c r="H194">
        <v>1</v>
      </c>
      <c r="I194" t="s">
        <v>684</v>
      </c>
      <c r="J194" t="s">
        <v>689</v>
      </c>
      <c r="K194" t="s">
        <v>1390</v>
      </c>
    </row>
    <row r="195" spans="1:11" x14ac:dyDescent="0.25">
      <c r="A195" t="s">
        <v>214</v>
      </c>
      <c r="B195" t="s">
        <v>1391</v>
      </c>
      <c r="C195" t="s">
        <v>1392</v>
      </c>
      <c r="D195" t="s">
        <v>561</v>
      </c>
      <c r="E195" t="s">
        <v>564</v>
      </c>
      <c r="F195">
        <v>62281.24</v>
      </c>
      <c r="G195" s="3">
        <v>43272</v>
      </c>
      <c r="H195">
        <v>1</v>
      </c>
      <c r="I195" t="s">
        <v>683</v>
      </c>
      <c r="J195" t="s">
        <v>692</v>
      </c>
      <c r="K195" t="s">
        <v>1393</v>
      </c>
    </row>
    <row r="196" spans="1:11" x14ac:dyDescent="0.25">
      <c r="A196" t="s">
        <v>215</v>
      </c>
      <c r="B196" t="s">
        <v>1394</v>
      </c>
      <c r="C196" t="s">
        <v>1395</v>
      </c>
      <c r="D196" t="s">
        <v>561</v>
      </c>
      <c r="E196" t="s">
        <v>568</v>
      </c>
      <c r="F196">
        <v>57925.91</v>
      </c>
      <c r="G196" s="3">
        <v>43572</v>
      </c>
      <c r="H196">
        <v>0.5</v>
      </c>
      <c r="I196" t="s">
        <v>683</v>
      </c>
      <c r="J196" t="s">
        <v>689</v>
      </c>
      <c r="K196" t="s">
        <v>1396</v>
      </c>
    </row>
    <row r="197" spans="1:11" x14ac:dyDescent="0.25">
      <c r="A197" t="s">
        <v>216</v>
      </c>
      <c r="B197" t="s">
        <v>1397</v>
      </c>
      <c r="C197" t="s">
        <v>1398</v>
      </c>
      <c r="D197" t="s">
        <v>560</v>
      </c>
      <c r="E197" t="s">
        <v>564</v>
      </c>
      <c r="F197">
        <v>82239.53</v>
      </c>
      <c r="G197" s="3">
        <v>43846</v>
      </c>
      <c r="H197">
        <v>1</v>
      </c>
      <c r="I197" t="s">
        <v>685</v>
      </c>
      <c r="J197" t="s">
        <v>689</v>
      </c>
      <c r="K197" t="s">
        <v>900</v>
      </c>
    </row>
    <row r="198" spans="1:11" x14ac:dyDescent="0.25">
      <c r="A198" t="s">
        <v>217</v>
      </c>
      <c r="B198" t="s">
        <v>1326</v>
      </c>
      <c r="C198" t="s">
        <v>1015</v>
      </c>
      <c r="D198" t="s">
        <v>560</v>
      </c>
      <c r="E198" t="s">
        <v>569</v>
      </c>
      <c r="F198">
        <v>53184.02</v>
      </c>
      <c r="G198" s="3">
        <v>43180</v>
      </c>
      <c r="H198">
        <v>1</v>
      </c>
      <c r="I198" t="s">
        <v>684</v>
      </c>
      <c r="J198" t="s">
        <v>693</v>
      </c>
      <c r="K198" t="s">
        <v>1399</v>
      </c>
    </row>
    <row r="199" spans="1:11" x14ac:dyDescent="0.25">
      <c r="A199" t="s">
        <v>218</v>
      </c>
      <c r="B199" t="s">
        <v>1169</v>
      </c>
      <c r="C199" t="s">
        <v>973</v>
      </c>
      <c r="D199" t="s">
        <v>560</v>
      </c>
      <c r="E199" t="s">
        <v>566</v>
      </c>
      <c r="F199">
        <v>35936.31</v>
      </c>
      <c r="G199" s="3">
        <v>43241</v>
      </c>
      <c r="H199">
        <v>1</v>
      </c>
      <c r="I199" t="s">
        <v>683</v>
      </c>
      <c r="J199" t="s">
        <v>689</v>
      </c>
      <c r="K199" t="s">
        <v>902</v>
      </c>
    </row>
    <row r="200" spans="1:11" x14ac:dyDescent="0.25">
      <c r="A200" t="s">
        <v>219</v>
      </c>
      <c r="B200" t="s">
        <v>1400</v>
      </c>
      <c r="C200" t="s">
        <v>1401</v>
      </c>
      <c r="D200" t="s">
        <v>561</v>
      </c>
      <c r="E200" t="s">
        <v>567</v>
      </c>
      <c r="F200">
        <v>28305.08</v>
      </c>
      <c r="G200" s="3">
        <v>43754</v>
      </c>
      <c r="H200">
        <v>1</v>
      </c>
      <c r="I200" t="s">
        <v>683</v>
      </c>
      <c r="J200" t="s">
        <v>693</v>
      </c>
      <c r="K200" t="s">
        <v>903</v>
      </c>
    </row>
    <row r="201" spans="1:11" x14ac:dyDescent="0.25">
      <c r="A201" t="s">
        <v>220</v>
      </c>
      <c r="B201" t="s">
        <v>1402</v>
      </c>
      <c r="C201" t="s">
        <v>1002</v>
      </c>
      <c r="D201" t="s">
        <v>561</v>
      </c>
      <c r="E201" t="s">
        <v>569</v>
      </c>
      <c r="F201">
        <v>29774.76</v>
      </c>
      <c r="G201" s="3">
        <v>44105</v>
      </c>
      <c r="H201">
        <v>1</v>
      </c>
      <c r="I201" t="s">
        <v>683</v>
      </c>
      <c r="J201" t="s">
        <v>688</v>
      </c>
      <c r="K201" t="s">
        <v>904</v>
      </c>
    </row>
    <row r="202" spans="1:11" x14ac:dyDescent="0.25">
      <c r="A202" t="s">
        <v>221</v>
      </c>
      <c r="B202" t="s">
        <v>1253</v>
      </c>
      <c r="C202" t="s">
        <v>1164</v>
      </c>
      <c r="D202" t="s">
        <v>561</v>
      </c>
      <c r="E202" t="s">
        <v>568</v>
      </c>
      <c r="F202">
        <v>102515.81</v>
      </c>
      <c r="G202" s="3">
        <v>43902</v>
      </c>
      <c r="H202">
        <v>1</v>
      </c>
      <c r="I202" t="s">
        <v>684</v>
      </c>
      <c r="J202" t="s">
        <v>691</v>
      </c>
      <c r="K202" t="s">
        <v>1403</v>
      </c>
    </row>
    <row r="203" spans="1:11" x14ac:dyDescent="0.25">
      <c r="A203" t="s">
        <v>222</v>
      </c>
      <c r="B203" t="s">
        <v>1404</v>
      </c>
      <c r="C203" t="s">
        <v>1135</v>
      </c>
      <c r="D203" t="s">
        <v>561</v>
      </c>
      <c r="E203" t="s">
        <v>568</v>
      </c>
      <c r="F203">
        <v>99448.78</v>
      </c>
      <c r="G203" s="3">
        <v>43473</v>
      </c>
      <c r="H203">
        <v>1</v>
      </c>
      <c r="I203" t="s">
        <v>684</v>
      </c>
      <c r="J203" t="s">
        <v>689</v>
      </c>
      <c r="K203" t="s">
        <v>1405</v>
      </c>
    </row>
    <row r="204" spans="1:11" x14ac:dyDescent="0.25">
      <c r="A204" t="s">
        <v>223</v>
      </c>
      <c r="B204" t="s">
        <v>1373</v>
      </c>
      <c r="C204" t="s">
        <v>1172</v>
      </c>
      <c r="D204" t="s">
        <v>560</v>
      </c>
      <c r="E204" t="s">
        <v>562</v>
      </c>
      <c r="F204">
        <v>68795.48</v>
      </c>
      <c r="G204" s="3">
        <v>44277</v>
      </c>
      <c r="H204">
        <v>0.2</v>
      </c>
      <c r="I204" t="s">
        <v>683</v>
      </c>
      <c r="J204" t="s">
        <v>690</v>
      </c>
      <c r="K204" t="s">
        <v>1406</v>
      </c>
    </row>
    <row r="205" spans="1:11" x14ac:dyDescent="0.25">
      <c r="A205" t="s">
        <v>224</v>
      </c>
      <c r="B205" t="s">
        <v>1326</v>
      </c>
      <c r="C205" t="s">
        <v>1400</v>
      </c>
      <c r="D205" t="s">
        <v>561</v>
      </c>
      <c r="E205" t="s">
        <v>568</v>
      </c>
      <c r="F205">
        <v>99683.67</v>
      </c>
      <c r="G205" s="3">
        <v>43500</v>
      </c>
      <c r="H205">
        <v>1</v>
      </c>
      <c r="I205" t="s">
        <v>684</v>
      </c>
      <c r="J205" t="s">
        <v>687</v>
      </c>
      <c r="K205" t="s">
        <v>908</v>
      </c>
    </row>
    <row r="206" spans="1:11" x14ac:dyDescent="0.25">
      <c r="A206" t="s">
        <v>225</v>
      </c>
      <c r="B206" t="s">
        <v>1407</v>
      </c>
      <c r="C206" t="s">
        <v>1167</v>
      </c>
      <c r="D206" t="s">
        <v>560</v>
      </c>
      <c r="E206" t="s">
        <v>569</v>
      </c>
      <c r="F206">
        <v>38825.18</v>
      </c>
      <c r="G206" s="3">
        <v>43696</v>
      </c>
      <c r="H206">
        <v>1</v>
      </c>
      <c r="I206" t="s">
        <v>685</v>
      </c>
      <c r="J206" t="s">
        <v>690</v>
      </c>
      <c r="K206" t="s">
        <v>1408</v>
      </c>
    </row>
    <row r="207" spans="1:11" x14ac:dyDescent="0.25">
      <c r="A207" t="s">
        <v>226</v>
      </c>
      <c r="B207" t="s">
        <v>1238</v>
      </c>
      <c r="C207" t="s">
        <v>1172</v>
      </c>
      <c r="D207" t="s">
        <v>560</v>
      </c>
      <c r="E207" t="s">
        <v>569</v>
      </c>
      <c r="F207">
        <v>71229.42</v>
      </c>
      <c r="G207" s="3">
        <v>44166</v>
      </c>
      <c r="H207">
        <v>1</v>
      </c>
      <c r="I207" t="s">
        <v>683</v>
      </c>
      <c r="J207" t="s">
        <v>691</v>
      </c>
      <c r="K207" t="s">
        <v>1409</v>
      </c>
    </row>
    <row r="208" spans="1:11" x14ac:dyDescent="0.25">
      <c r="A208" t="s">
        <v>227</v>
      </c>
      <c r="B208" t="s">
        <v>980</v>
      </c>
      <c r="C208" t="s">
        <v>1410</v>
      </c>
      <c r="D208" t="s">
        <v>561</v>
      </c>
      <c r="E208" t="s">
        <v>562</v>
      </c>
      <c r="F208">
        <v>80695.740000000005</v>
      </c>
      <c r="G208" s="3">
        <v>43360</v>
      </c>
      <c r="H208">
        <v>1</v>
      </c>
      <c r="I208" t="s">
        <v>683</v>
      </c>
      <c r="J208" t="s">
        <v>686</v>
      </c>
      <c r="K208" t="s">
        <v>1411</v>
      </c>
    </row>
    <row r="209" spans="1:11" x14ac:dyDescent="0.25">
      <c r="A209" t="s">
        <v>228</v>
      </c>
      <c r="B209" t="s">
        <v>1412</v>
      </c>
      <c r="C209" t="s">
        <v>1413</v>
      </c>
      <c r="D209" t="s">
        <v>561</v>
      </c>
      <c r="E209" t="s">
        <v>569</v>
      </c>
      <c r="F209">
        <v>72502.61</v>
      </c>
      <c r="G209" s="3">
        <v>44235</v>
      </c>
      <c r="H209">
        <v>1</v>
      </c>
      <c r="I209" t="s">
        <v>683</v>
      </c>
      <c r="J209" t="s">
        <v>691</v>
      </c>
      <c r="K209" t="s">
        <v>1414</v>
      </c>
    </row>
    <row r="210" spans="1:11" x14ac:dyDescent="0.25">
      <c r="A210" t="s">
        <v>229</v>
      </c>
      <c r="B210" t="s">
        <v>1415</v>
      </c>
      <c r="C210" t="s">
        <v>1416</v>
      </c>
      <c r="D210" t="s">
        <v>560</v>
      </c>
      <c r="E210" t="s">
        <v>569</v>
      </c>
      <c r="F210">
        <v>68197.899999999994</v>
      </c>
      <c r="G210" s="3">
        <v>44119</v>
      </c>
      <c r="H210">
        <v>1</v>
      </c>
      <c r="I210" t="s">
        <v>683</v>
      </c>
      <c r="J210" t="s">
        <v>687</v>
      </c>
      <c r="K210" t="s">
        <v>1417</v>
      </c>
    </row>
    <row r="211" spans="1:11" x14ac:dyDescent="0.25">
      <c r="A211" t="s">
        <v>231</v>
      </c>
      <c r="B211" t="s">
        <v>993</v>
      </c>
      <c r="C211" t="s">
        <v>1013</v>
      </c>
      <c r="D211" t="s">
        <v>560</v>
      </c>
      <c r="E211" t="s">
        <v>565</v>
      </c>
      <c r="F211">
        <v>89960.6</v>
      </c>
      <c r="G211" s="3">
        <v>43515</v>
      </c>
      <c r="H211">
        <v>1</v>
      </c>
      <c r="I211" t="s">
        <v>684</v>
      </c>
      <c r="J211" t="s">
        <v>693</v>
      </c>
      <c r="K211" t="s">
        <v>915</v>
      </c>
    </row>
    <row r="212" spans="1:11" x14ac:dyDescent="0.25">
      <c r="A212" t="s">
        <v>233</v>
      </c>
      <c r="B212" t="s">
        <v>1129</v>
      </c>
      <c r="C212" t="s">
        <v>1418</v>
      </c>
      <c r="D212" t="s">
        <v>561</v>
      </c>
      <c r="E212" t="s">
        <v>565</v>
      </c>
      <c r="F212">
        <v>28481.16</v>
      </c>
      <c r="G212" s="3">
        <v>43916</v>
      </c>
      <c r="H212">
        <v>1</v>
      </c>
      <c r="I212" t="s">
        <v>683</v>
      </c>
      <c r="J212" t="s">
        <v>692</v>
      </c>
      <c r="K212" t="s">
        <v>1419</v>
      </c>
    </row>
    <row r="213" spans="1:11" x14ac:dyDescent="0.25">
      <c r="A213" t="s">
        <v>234</v>
      </c>
      <c r="B213" t="s">
        <v>1265</v>
      </c>
      <c r="C213" t="s">
        <v>1013</v>
      </c>
      <c r="D213" t="s">
        <v>560</v>
      </c>
      <c r="E213" t="s">
        <v>567</v>
      </c>
      <c r="F213">
        <v>116767.63</v>
      </c>
      <c r="G213" s="3">
        <v>43949</v>
      </c>
      <c r="H213">
        <v>0.4</v>
      </c>
      <c r="I213" t="s">
        <v>685</v>
      </c>
      <c r="J213" t="s">
        <v>686</v>
      </c>
      <c r="K213" t="s">
        <v>1420</v>
      </c>
    </row>
    <row r="214" spans="1:11" x14ac:dyDescent="0.25">
      <c r="A214" t="s">
        <v>235</v>
      </c>
      <c r="B214" t="s">
        <v>1421</v>
      </c>
      <c r="C214" t="s">
        <v>1422</v>
      </c>
      <c r="D214" t="s">
        <v>561</v>
      </c>
      <c r="E214" t="s">
        <v>565</v>
      </c>
      <c r="F214">
        <v>80360.41</v>
      </c>
      <c r="G214" s="3">
        <v>44167</v>
      </c>
      <c r="H214">
        <v>1</v>
      </c>
      <c r="I214" t="s">
        <v>683</v>
      </c>
      <c r="J214" t="s">
        <v>688</v>
      </c>
      <c r="K214" t="s">
        <v>1423</v>
      </c>
    </row>
    <row r="215" spans="1:11" x14ac:dyDescent="0.25">
      <c r="A215" t="s">
        <v>236</v>
      </c>
      <c r="B215" t="s">
        <v>1402</v>
      </c>
      <c r="C215" t="s">
        <v>1138</v>
      </c>
      <c r="D215" t="s">
        <v>560</v>
      </c>
      <c r="E215" t="s">
        <v>569</v>
      </c>
      <c r="F215">
        <v>77045.440000000002</v>
      </c>
      <c r="G215" s="3">
        <v>43636</v>
      </c>
      <c r="H215">
        <v>1</v>
      </c>
      <c r="I215" t="s">
        <v>683</v>
      </c>
      <c r="J215" t="s">
        <v>691</v>
      </c>
      <c r="K215" t="s">
        <v>1424</v>
      </c>
    </row>
    <row r="216" spans="1:11" x14ac:dyDescent="0.25">
      <c r="A216" t="s">
        <v>237</v>
      </c>
      <c r="B216" t="s">
        <v>1425</v>
      </c>
      <c r="C216" t="s">
        <v>1007</v>
      </c>
      <c r="D216" t="s">
        <v>560</v>
      </c>
      <c r="E216" t="s">
        <v>562</v>
      </c>
      <c r="F216">
        <v>96135.75</v>
      </c>
      <c r="G216" s="3">
        <v>44025</v>
      </c>
      <c r="H216">
        <v>0.3</v>
      </c>
      <c r="I216" t="s">
        <v>683</v>
      </c>
      <c r="J216" t="s">
        <v>689</v>
      </c>
      <c r="K216" t="s">
        <v>1426</v>
      </c>
    </row>
    <row r="217" spans="1:11" x14ac:dyDescent="0.25">
      <c r="A217" t="s">
        <v>238</v>
      </c>
      <c r="B217" t="s">
        <v>1312</v>
      </c>
      <c r="C217" t="s">
        <v>1427</v>
      </c>
      <c r="D217" t="s">
        <v>560</v>
      </c>
      <c r="E217" t="s">
        <v>567</v>
      </c>
      <c r="F217">
        <v>102129.37</v>
      </c>
      <c r="G217" s="3">
        <v>44396</v>
      </c>
      <c r="H217">
        <v>1</v>
      </c>
      <c r="I217" t="s">
        <v>683</v>
      </c>
      <c r="J217" t="s">
        <v>691</v>
      </c>
      <c r="K217" t="s">
        <v>1428</v>
      </c>
    </row>
    <row r="218" spans="1:11" x14ac:dyDescent="0.25">
      <c r="A218" t="s">
        <v>239</v>
      </c>
      <c r="B218" t="s">
        <v>1288</v>
      </c>
      <c r="C218" t="s">
        <v>1388</v>
      </c>
      <c r="D218" t="s">
        <v>561</v>
      </c>
      <c r="E218" t="s">
        <v>566</v>
      </c>
      <c r="F218">
        <v>99965.97</v>
      </c>
      <c r="G218" s="3">
        <v>43133</v>
      </c>
      <c r="H218">
        <v>1</v>
      </c>
      <c r="I218" t="s">
        <v>683</v>
      </c>
      <c r="J218" t="s">
        <v>688</v>
      </c>
      <c r="K218" t="s">
        <v>1429</v>
      </c>
    </row>
    <row r="219" spans="1:11" x14ac:dyDescent="0.25">
      <c r="A219" t="s">
        <v>240</v>
      </c>
      <c r="B219" t="s">
        <v>990</v>
      </c>
      <c r="C219" t="s">
        <v>1430</v>
      </c>
      <c r="D219" t="s">
        <v>560</v>
      </c>
      <c r="E219" t="s">
        <v>562</v>
      </c>
      <c r="F219">
        <v>49625.64</v>
      </c>
      <c r="G219" s="3">
        <v>44384</v>
      </c>
      <c r="H219">
        <v>0.5</v>
      </c>
      <c r="I219" t="s">
        <v>684</v>
      </c>
      <c r="J219" t="s">
        <v>687</v>
      </c>
      <c r="K219" t="s">
        <v>1431</v>
      </c>
    </row>
    <row r="220" spans="1:11" x14ac:dyDescent="0.25">
      <c r="A220" t="s">
        <v>241</v>
      </c>
      <c r="B220" t="s">
        <v>1432</v>
      </c>
      <c r="C220" t="s">
        <v>1433</v>
      </c>
      <c r="D220" t="s">
        <v>561</v>
      </c>
      <c r="E220" t="s">
        <v>566</v>
      </c>
      <c r="F220">
        <v>94815.28</v>
      </c>
      <c r="G220" s="3">
        <v>43440</v>
      </c>
      <c r="H220">
        <v>1</v>
      </c>
      <c r="I220" t="s">
        <v>683</v>
      </c>
      <c r="J220" t="s">
        <v>692</v>
      </c>
      <c r="K220" t="s">
        <v>1434</v>
      </c>
    </row>
    <row r="221" spans="1:11" x14ac:dyDescent="0.25">
      <c r="A221" t="s">
        <v>242</v>
      </c>
      <c r="B221" t="s">
        <v>1435</v>
      </c>
      <c r="C221" t="s">
        <v>1154</v>
      </c>
      <c r="D221" t="s">
        <v>561</v>
      </c>
      <c r="E221" t="s">
        <v>562</v>
      </c>
      <c r="F221">
        <v>36714.379999999997</v>
      </c>
      <c r="G221" s="3">
        <v>44175</v>
      </c>
      <c r="H221">
        <v>1</v>
      </c>
      <c r="I221" t="s">
        <v>683</v>
      </c>
      <c r="J221" t="s">
        <v>690</v>
      </c>
      <c r="K221" t="s">
        <v>926</v>
      </c>
    </row>
    <row r="222" spans="1:11" x14ac:dyDescent="0.25">
      <c r="A222" t="s">
        <v>243</v>
      </c>
      <c r="B222" t="s">
        <v>1232</v>
      </c>
      <c r="C222" t="s">
        <v>1436</v>
      </c>
      <c r="D222" t="s">
        <v>560</v>
      </c>
      <c r="E222" t="s">
        <v>565</v>
      </c>
      <c r="F222">
        <v>67905.8</v>
      </c>
      <c r="G222" s="3">
        <v>44194</v>
      </c>
      <c r="H222">
        <v>1</v>
      </c>
      <c r="I222" t="s">
        <v>683</v>
      </c>
      <c r="J222" t="s">
        <v>692</v>
      </c>
      <c r="K222" t="s">
        <v>927</v>
      </c>
    </row>
    <row r="223" spans="1:11" x14ac:dyDescent="0.25">
      <c r="A223" t="s">
        <v>244</v>
      </c>
      <c r="B223" t="s">
        <v>1437</v>
      </c>
      <c r="C223" t="s">
        <v>1438</v>
      </c>
      <c r="D223" t="s">
        <v>560</v>
      </c>
      <c r="E223" t="s">
        <v>562</v>
      </c>
      <c r="F223">
        <v>69862.38</v>
      </c>
      <c r="G223" s="3">
        <v>43458</v>
      </c>
      <c r="H223">
        <v>1</v>
      </c>
      <c r="I223" t="s">
        <v>683</v>
      </c>
      <c r="J223" t="s">
        <v>686</v>
      </c>
      <c r="K223" t="s">
        <v>1439</v>
      </c>
    </row>
    <row r="224" spans="1:11" x14ac:dyDescent="0.25">
      <c r="A224" t="s">
        <v>245</v>
      </c>
      <c r="B224" t="s">
        <v>1440</v>
      </c>
      <c r="C224" t="s">
        <v>1441</v>
      </c>
      <c r="D224" t="s">
        <v>560</v>
      </c>
      <c r="E224" t="s">
        <v>565</v>
      </c>
      <c r="F224">
        <v>36547.58</v>
      </c>
      <c r="G224" s="3">
        <v>43416</v>
      </c>
      <c r="H224">
        <v>1</v>
      </c>
      <c r="I224" t="s">
        <v>683</v>
      </c>
      <c r="J224" t="s">
        <v>692</v>
      </c>
      <c r="K224" t="s">
        <v>929</v>
      </c>
    </row>
    <row r="225" spans="1:11" x14ac:dyDescent="0.25">
      <c r="A225" t="s">
        <v>246</v>
      </c>
      <c r="B225" t="s">
        <v>1442</v>
      </c>
      <c r="C225" t="s">
        <v>1443</v>
      </c>
      <c r="D225" t="s">
        <v>561</v>
      </c>
      <c r="E225" t="s">
        <v>563</v>
      </c>
      <c r="F225">
        <v>106400.02</v>
      </c>
      <c r="G225" s="3">
        <v>44021</v>
      </c>
      <c r="H225">
        <v>1</v>
      </c>
      <c r="I225" t="s">
        <v>685</v>
      </c>
      <c r="J225" t="s">
        <v>688</v>
      </c>
      <c r="K225" t="s">
        <v>930</v>
      </c>
    </row>
    <row r="226" spans="1:11" x14ac:dyDescent="0.25">
      <c r="A226" t="s">
        <v>247</v>
      </c>
      <c r="B226" t="s">
        <v>1444</v>
      </c>
      <c r="C226" t="s">
        <v>1445</v>
      </c>
      <c r="D226" t="s">
        <v>560</v>
      </c>
      <c r="E226" t="s">
        <v>563</v>
      </c>
      <c r="F226">
        <v>103494.94</v>
      </c>
      <c r="G226" s="3">
        <v>43256</v>
      </c>
      <c r="H226">
        <v>1</v>
      </c>
      <c r="I226" t="s">
        <v>683</v>
      </c>
      <c r="J226" t="s">
        <v>693</v>
      </c>
      <c r="K226" t="s">
        <v>1446</v>
      </c>
    </row>
    <row r="227" spans="1:11" x14ac:dyDescent="0.25">
      <c r="A227" t="s">
        <v>248</v>
      </c>
      <c r="B227" t="s">
        <v>1060</v>
      </c>
      <c r="C227" t="s">
        <v>1447</v>
      </c>
      <c r="D227" t="s">
        <v>561</v>
      </c>
      <c r="E227" t="s">
        <v>568</v>
      </c>
      <c r="F227">
        <v>96753.78</v>
      </c>
      <c r="G227" s="3">
        <v>44494</v>
      </c>
      <c r="H227">
        <v>1</v>
      </c>
      <c r="I227" t="s">
        <v>683</v>
      </c>
      <c r="J227" t="s">
        <v>691</v>
      </c>
      <c r="K227" t="s">
        <v>1448</v>
      </c>
    </row>
    <row r="228" spans="1:11" x14ac:dyDescent="0.25">
      <c r="A228" t="s">
        <v>249</v>
      </c>
      <c r="B228" t="s">
        <v>1187</v>
      </c>
      <c r="C228" t="s">
        <v>1336</v>
      </c>
      <c r="D228" t="s">
        <v>561</v>
      </c>
      <c r="E228" t="s">
        <v>568</v>
      </c>
      <c r="F228">
        <v>80695.740000000005</v>
      </c>
      <c r="G228" s="3">
        <v>43360</v>
      </c>
      <c r="H228">
        <v>1</v>
      </c>
      <c r="I228" t="s">
        <v>683</v>
      </c>
      <c r="J228" t="s">
        <v>693</v>
      </c>
      <c r="K228" t="s">
        <v>1449</v>
      </c>
    </row>
    <row r="229" spans="1:11" x14ac:dyDescent="0.25">
      <c r="A229" t="s">
        <v>250</v>
      </c>
      <c r="B229" t="s">
        <v>1380</v>
      </c>
      <c r="C229" t="s">
        <v>1295</v>
      </c>
      <c r="D229" t="s">
        <v>561</v>
      </c>
      <c r="E229" t="s">
        <v>565</v>
      </c>
      <c r="F229">
        <v>61213.01</v>
      </c>
      <c r="G229" s="3">
        <v>44365</v>
      </c>
      <c r="H229">
        <v>1</v>
      </c>
      <c r="I229" t="s">
        <v>683</v>
      </c>
      <c r="J229" t="s">
        <v>690</v>
      </c>
      <c r="K229" t="s">
        <v>934</v>
      </c>
    </row>
    <row r="230" spans="1:11" x14ac:dyDescent="0.25">
      <c r="A230" t="s">
        <v>251</v>
      </c>
      <c r="B230" t="s">
        <v>1450</v>
      </c>
      <c r="C230" t="s">
        <v>1063</v>
      </c>
      <c r="D230" t="s">
        <v>560</v>
      </c>
      <c r="E230" t="s">
        <v>566</v>
      </c>
      <c r="F230">
        <v>69709.509999999995</v>
      </c>
      <c r="G230" s="3">
        <v>43472</v>
      </c>
      <c r="H230">
        <v>1</v>
      </c>
      <c r="I230" t="s">
        <v>683</v>
      </c>
      <c r="J230" t="s">
        <v>686</v>
      </c>
      <c r="K230" t="s">
        <v>1451</v>
      </c>
    </row>
    <row r="231" spans="1:11" x14ac:dyDescent="0.25">
      <c r="A231" t="s">
        <v>252</v>
      </c>
      <c r="B231" t="s">
        <v>1452</v>
      </c>
      <c r="C231" t="s">
        <v>1453</v>
      </c>
      <c r="D231" t="s">
        <v>560</v>
      </c>
      <c r="E231" t="s">
        <v>568</v>
      </c>
      <c r="F231">
        <v>46751.7</v>
      </c>
      <c r="G231" s="3">
        <v>43843</v>
      </c>
      <c r="H231">
        <v>1</v>
      </c>
      <c r="I231" t="s">
        <v>684</v>
      </c>
      <c r="J231" t="s">
        <v>693</v>
      </c>
      <c r="K231" t="s">
        <v>1454</v>
      </c>
    </row>
    <row r="232" spans="1:11" x14ac:dyDescent="0.25">
      <c r="A232" t="s">
        <v>253</v>
      </c>
      <c r="B232" t="s">
        <v>996</v>
      </c>
      <c r="C232" t="s">
        <v>1284</v>
      </c>
      <c r="D232" t="s">
        <v>561</v>
      </c>
      <c r="E232" t="s">
        <v>563</v>
      </c>
      <c r="F232">
        <v>77096.05</v>
      </c>
      <c r="G232" s="3">
        <v>43217</v>
      </c>
      <c r="H232">
        <v>1</v>
      </c>
      <c r="I232" t="s">
        <v>683</v>
      </c>
      <c r="J232" t="s">
        <v>686</v>
      </c>
      <c r="K232" t="s">
        <v>1455</v>
      </c>
    </row>
    <row r="233" spans="1:11" x14ac:dyDescent="0.25">
      <c r="A233" t="s">
        <v>254</v>
      </c>
      <c r="B233" t="s">
        <v>1063</v>
      </c>
      <c r="C233" t="s">
        <v>1456</v>
      </c>
      <c r="D233" t="s">
        <v>560</v>
      </c>
      <c r="E233" t="s">
        <v>566</v>
      </c>
      <c r="F233">
        <v>67818.14</v>
      </c>
      <c r="G233" s="3">
        <v>43406</v>
      </c>
      <c r="H233">
        <v>0.6</v>
      </c>
      <c r="I233" t="s">
        <v>684</v>
      </c>
      <c r="J233" t="s">
        <v>693</v>
      </c>
      <c r="K233" t="s">
        <v>1457</v>
      </c>
    </row>
    <row r="234" spans="1:11" x14ac:dyDescent="0.25">
      <c r="A234" t="s">
        <v>255</v>
      </c>
      <c r="B234" t="s">
        <v>1458</v>
      </c>
      <c r="C234" t="s">
        <v>1127</v>
      </c>
      <c r="D234" t="s">
        <v>560</v>
      </c>
      <c r="E234" t="s">
        <v>567</v>
      </c>
      <c r="F234">
        <v>77743.149999999994</v>
      </c>
      <c r="G234" s="3">
        <v>43920</v>
      </c>
      <c r="H234">
        <v>1</v>
      </c>
      <c r="I234" t="s">
        <v>683</v>
      </c>
      <c r="J234" t="s">
        <v>691</v>
      </c>
      <c r="K234" t="s">
        <v>1459</v>
      </c>
    </row>
    <row r="235" spans="1:11" x14ac:dyDescent="0.25">
      <c r="A235" t="s">
        <v>256</v>
      </c>
      <c r="B235" t="s">
        <v>1460</v>
      </c>
      <c r="C235" t="s">
        <v>1461</v>
      </c>
      <c r="D235" t="s">
        <v>560</v>
      </c>
      <c r="E235" t="s">
        <v>564</v>
      </c>
      <c r="F235">
        <v>48525.71</v>
      </c>
      <c r="G235" s="3">
        <v>43264</v>
      </c>
      <c r="H235">
        <v>1</v>
      </c>
      <c r="I235" t="s">
        <v>683</v>
      </c>
      <c r="J235" t="s">
        <v>691</v>
      </c>
      <c r="K235" t="s">
        <v>1462</v>
      </c>
    </row>
    <row r="236" spans="1:11" x14ac:dyDescent="0.25">
      <c r="A236" t="s">
        <v>257</v>
      </c>
      <c r="B236" t="s">
        <v>1463</v>
      </c>
      <c r="C236" t="s">
        <v>1251</v>
      </c>
      <c r="D236" t="s">
        <v>561</v>
      </c>
      <c r="E236" t="s">
        <v>564</v>
      </c>
      <c r="F236">
        <v>103494.94</v>
      </c>
      <c r="G236" s="3">
        <v>43256</v>
      </c>
      <c r="H236">
        <v>1</v>
      </c>
      <c r="I236" t="s">
        <v>683</v>
      </c>
      <c r="J236" t="s">
        <v>688</v>
      </c>
      <c r="K236" t="s">
        <v>1464</v>
      </c>
    </row>
    <row r="237" spans="1:11" x14ac:dyDescent="0.25">
      <c r="A237" t="s">
        <v>258</v>
      </c>
      <c r="B237" t="s">
        <v>1465</v>
      </c>
      <c r="C237" t="s">
        <v>1466</v>
      </c>
      <c r="D237" t="s">
        <v>561</v>
      </c>
      <c r="E237" t="s">
        <v>568</v>
      </c>
      <c r="F237">
        <v>106400.02</v>
      </c>
      <c r="G237" s="3">
        <v>44021</v>
      </c>
      <c r="H237">
        <v>1</v>
      </c>
      <c r="I237" t="s">
        <v>685</v>
      </c>
      <c r="J237" t="s">
        <v>686</v>
      </c>
      <c r="K237" t="s">
        <v>1467</v>
      </c>
    </row>
    <row r="238" spans="1:11" x14ac:dyDescent="0.25">
      <c r="A238" t="s">
        <v>260</v>
      </c>
      <c r="B238" t="s">
        <v>1468</v>
      </c>
      <c r="C238" t="s">
        <v>1045</v>
      </c>
      <c r="D238" t="s">
        <v>560</v>
      </c>
      <c r="E238" t="s">
        <v>566</v>
      </c>
      <c r="F238">
        <v>65569.36</v>
      </c>
      <c r="G238" s="3">
        <v>43293</v>
      </c>
      <c r="H238">
        <v>1</v>
      </c>
      <c r="I238" t="s">
        <v>684</v>
      </c>
      <c r="J238" t="s">
        <v>687</v>
      </c>
      <c r="K238" t="s">
        <v>1469</v>
      </c>
    </row>
    <row r="239" spans="1:11" x14ac:dyDescent="0.25">
      <c r="A239" t="s">
        <v>261</v>
      </c>
      <c r="B239" t="s">
        <v>1470</v>
      </c>
      <c r="C239" t="s">
        <v>1167</v>
      </c>
      <c r="D239" t="s">
        <v>561</v>
      </c>
      <c r="E239" t="s">
        <v>568</v>
      </c>
      <c r="F239">
        <v>40445.29</v>
      </c>
      <c r="G239" s="3">
        <v>44393</v>
      </c>
      <c r="H239">
        <v>1</v>
      </c>
      <c r="I239" t="s">
        <v>683</v>
      </c>
      <c r="J239" t="s">
        <v>693</v>
      </c>
      <c r="K239" t="s">
        <v>945</v>
      </c>
    </row>
    <row r="240" spans="1:11" x14ac:dyDescent="0.25">
      <c r="A240" t="s">
        <v>263</v>
      </c>
      <c r="B240" t="s">
        <v>1471</v>
      </c>
      <c r="C240" t="s">
        <v>1298</v>
      </c>
      <c r="D240" t="s">
        <v>561</v>
      </c>
      <c r="E240" t="s">
        <v>569</v>
      </c>
      <c r="F240">
        <v>114772.32</v>
      </c>
      <c r="G240" s="3">
        <v>44251</v>
      </c>
      <c r="H240">
        <v>1</v>
      </c>
      <c r="I240" t="s">
        <v>683</v>
      </c>
      <c r="J240" t="s">
        <v>686</v>
      </c>
      <c r="K240" t="s">
        <v>1472</v>
      </c>
    </row>
    <row r="241" spans="1:11" x14ac:dyDescent="0.25">
      <c r="A241" t="s">
        <v>264</v>
      </c>
      <c r="B241" t="s">
        <v>996</v>
      </c>
      <c r="C241" t="s">
        <v>1306</v>
      </c>
      <c r="D241" t="s">
        <v>560</v>
      </c>
      <c r="E241" t="s">
        <v>568</v>
      </c>
      <c r="F241">
        <v>56253.81</v>
      </c>
      <c r="G241" s="3">
        <v>44421</v>
      </c>
      <c r="H241">
        <v>1</v>
      </c>
      <c r="I241" t="s">
        <v>683</v>
      </c>
      <c r="J241" t="s">
        <v>688</v>
      </c>
      <c r="K241" t="s">
        <v>1473</v>
      </c>
    </row>
    <row r="242" spans="1:11" x14ac:dyDescent="0.25">
      <c r="A242" t="s">
        <v>265</v>
      </c>
      <c r="B242" t="s">
        <v>1373</v>
      </c>
      <c r="C242" t="s">
        <v>1189</v>
      </c>
      <c r="D242" t="s">
        <v>560</v>
      </c>
      <c r="E242" t="s">
        <v>568</v>
      </c>
      <c r="F242">
        <v>51798.25</v>
      </c>
      <c r="G242" s="3">
        <v>43665</v>
      </c>
      <c r="H242">
        <v>1</v>
      </c>
      <c r="I242" t="s">
        <v>683</v>
      </c>
      <c r="J242" t="s">
        <v>692</v>
      </c>
      <c r="K242" t="s">
        <v>949</v>
      </c>
    </row>
    <row r="243" spans="1:11" x14ac:dyDescent="0.25">
      <c r="A243" t="s">
        <v>266</v>
      </c>
      <c r="B243" t="s">
        <v>1018</v>
      </c>
      <c r="C243" t="s">
        <v>1474</v>
      </c>
      <c r="D243" t="s">
        <v>560</v>
      </c>
      <c r="E243" t="s">
        <v>565</v>
      </c>
      <c r="F243">
        <v>28329.77</v>
      </c>
      <c r="G243" s="3">
        <v>43402</v>
      </c>
      <c r="H243">
        <v>1</v>
      </c>
      <c r="I243" t="s">
        <v>683</v>
      </c>
      <c r="J243" t="s">
        <v>686</v>
      </c>
      <c r="K243" t="s">
        <v>1475</v>
      </c>
    </row>
    <row r="244" spans="1:11" x14ac:dyDescent="0.25">
      <c r="A244" t="s">
        <v>267</v>
      </c>
      <c r="B244" t="s">
        <v>1169</v>
      </c>
      <c r="C244" t="s">
        <v>1248</v>
      </c>
      <c r="D244" t="s">
        <v>560</v>
      </c>
      <c r="E244" t="s">
        <v>566</v>
      </c>
      <c r="F244">
        <v>93964.3</v>
      </c>
      <c r="G244" s="3">
        <v>44454</v>
      </c>
      <c r="H244">
        <v>0.4</v>
      </c>
      <c r="I244" t="s">
        <v>684</v>
      </c>
      <c r="J244" t="s">
        <v>692</v>
      </c>
      <c r="K244" t="s">
        <v>951</v>
      </c>
    </row>
    <row r="245" spans="1:11" x14ac:dyDescent="0.25">
      <c r="A245" t="s">
        <v>268</v>
      </c>
      <c r="B245" t="s">
        <v>1009</v>
      </c>
      <c r="C245" t="s">
        <v>1476</v>
      </c>
      <c r="D245" t="s">
        <v>560</v>
      </c>
      <c r="E245" t="s">
        <v>562</v>
      </c>
      <c r="F245">
        <v>90884.32</v>
      </c>
      <c r="G245" s="3">
        <v>44039</v>
      </c>
      <c r="H245">
        <v>0.5</v>
      </c>
      <c r="I245" t="s">
        <v>683</v>
      </c>
      <c r="J245" t="s">
        <v>690</v>
      </c>
      <c r="K245" t="s">
        <v>1477</v>
      </c>
    </row>
    <row r="246" spans="1:11" x14ac:dyDescent="0.25">
      <c r="A246" t="s">
        <v>269</v>
      </c>
      <c r="B246" t="s">
        <v>1478</v>
      </c>
      <c r="C246" t="s">
        <v>1143</v>
      </c>
      <c r="D246" t="s">
        <v>561</v>
      </c>
      <c r="E246" t="s">
        <v>563</v>
      </c>
      <c r="F246">
        <v>84742.86</v>
      </c>
      <c r="G246" s="3">
        <v>44098</v>
      </c>
      <c r="H246">
        <v>1</v>
      </c>
      <c r="I246" t="s">
        <v>683</v>
      </c>
      <c r="J246" t="s">
        <v>689</v>
      </c>
      <c r="K246" t="s">
        <v>1479</v>
      </c>
    </row>
    <row r="247" spans="1:11" x14ac:dyDescent="0.25">
      <c r="A247" t="s">
        <v>270</v>
      </c>
      <c r="B247" t="s">
        <v>1089</v>
      </c>
      <c r="C247" t="s">
        <v>1480</v>
      </c>
      <c r="D247" t="s">
        <v>561</v>
      </c>
      <c r="E247" t="s">
        <v>569</v>
      </c>
      <c r="F247">
        <v>80772.92</v>
      </c>
      <c r="G247" s="3">
        <v>44137</v>
      </c>
      <c r="H247">
        <v>1</v>
      </c>
      <c r="I247" t="s">
        <v>685</v>
      </c>
      <c r="J247" t="s">
        <v>692</v>
      </c>
      <c r="K247" t="s">
        <v>1481</v>
      </c>
    </row>
    <row r="248" spans="1:11" x14ac:dyDescent="0.25">
      <c r="A248" t="s">
        <v>271</v>
      </c>
      <c r="B248" t="s">
        <v>1197</v>
      </c>
      <c r="C248" t="s">
        <v>1482</v>
      </c>
      <c r="D248" t="s">
        <v>560</v>
      </c>
      <c r="E248" t="s">
        <v>562</v>
      </c>
      <c r="F248">
        <v>85264.38</v>
      </c>
      <c r="G248" s="3">
        <v>43220</v>
      </c>
      <c r="H248">
        <v>1</v>
      </c>
      <c r="I248" t="s">
        <v>683</v>
      </c>
      <c r="J248" t="s">
        <v>690</v>
      </c>
      <c r="K248" t="s">
        <v>955</v>
      </c>
    </row>
    <row r="249" spans="1:11" x14ac:dyDescent="0.25">
      <c r="A249" t="s">
        <v>273</v>
      </c>
      <c r="B249" t="s">
        <v>1116</v>
      </c>
      <c r="C249" t="s">
        <v>1483</v>
      </c>
      <c r="D249" t="s">
        <v>561</v>
      </c>
      <c r="E249" t="s">
        <v>565</v>
      </c>
      <c r="F249">
        <v>113747.56</v>
      </c>
      <c r="G249" s="3">
        <v>44270</v>
      </c>
      <c r="H249">
        <v>0.7</v>
      </c>
      <c r="I249" t="s">
        <v>685</v>
      </c>
      <c r="J249" t="s">
        <v>691</v>
      </c>
      <c r="K249" t="s">
        <v>1484</v>
      </c>
    </row>
    <row r="250" spans="1:11" x14ac:dyDescent="0.25">
      <c r="A250" t="s">
        <v>274</v>
      </c>
      <c r="B250" t="s">
        <v>993</v>
      </c>
      <c r="C250" t="s">
        <v>994</v>
      </c>
      <c r="D250" t="s">
        <v>561</v>
      </c>
      <c r="E250" t="s">
        <v>562</v>
      </c>
      <c r="F250">
        <v>78378.2</v>
      </c>
      <c r="G250" s="3">
        <v>43465</v>
      </c>
      <c r="H250">
        <v>0.4</v>
      </c>
      <c r="I250" t="s">
        <v>683</v>
      </c>
      <c r="J250" t="s">
        <v>693</v>
      </c>
      <c r="K250" t="s">
        <v>1485</v>
      </c>
    </row>
    <row r="251" spans="1:11" x14ac:dyDescent="0.25">
      <c r="A251" t="s">
        <v>275</v>
      </c>
      <c r="B251" t="s">
        <v>1142</v>
      </c>
      <c r="C251" t="s">
        <v>1486</v>
      </c>
      <c r="D251" t="s">
        <v>561</v>
      </c>
      <c r="E251" t="s">
        <v>568</v>
      </c>
      <c r="F251">
        <v>91314.75</v>
      </c>
      <c r="G251" s="3">
        <v>43931</v>
      </c>
      <c r="H251">
        <v>1</v>
      </c>
      <c r="I251" t="s">
        <v>684</v>
      </c>
      <c r="J251" t="s">
        <v>688</v>
      </c>
      <c r="K251" t="s">
        <v>959</v>
      </c>
    </row>
    <row r="252" spans="1:11" x14ac:dyDescent="0.25">
      <c r="A252" t="s">
        <v>276</v>
      </c>
      <c r="B252" t="s">
        <v>1351</v>
      </c>
      <c r="C252" t="s">
        <v>1487</v>
      </c>
      <c r="D252" t="s">
        <v>561</v>
      </c>
      <c r="E252" t="s">
        <v>568</v>
      </c>
      <c r="F252">
        <v>66572.58</v>
      </c>
      <c r="G252" s="3">
        <v>44193</v>
      </c>
      <c r="H252">
        <v>1</v>
      </c>
      <c r="I252" t="s">
        <v>683</v>
      </c>
      <c r="J252" t="s">
        <v>690</v>
      </c>
      <c r="K252" t="s">
        <v>1488</v>
      </c>
    </row>
    <row r="253" spans="1:11" x14ac:dyDescent="0.25">
      <c r="A253" t="s">
        <v>277</v>
      </c>
      <c r="B253" t="s">
        <v>1145</v>
      </c>
      <c r="C253" t="s">
        <v>1483</v>
      </c>
      <c r="D253" t="s">
        <v>561</v>
      </c>
      <c r="E253" t="s">
        <v>562</v>
      </c>
      <c r="F253">
        <v>30077.45</v>
      </c>
      <c r="G253" s="3">
        <v>43474</v>
      </c>
      <c r="H253">
        <v>1</v>
      </c>
      <c r="I253" t="s">
        <v>683</v>
      </c>
      <c r="J253" t="s">
        <v>687</v>
      </c>
      <c r="K253" t="s">
        <v>961</v>
      </c>
    </row>
    <row r="254" spans="1:11" x14ac:dyDescent="0.25">
      <c r="A254" t="s">
        <v>278</v>
      </c>
      <c r="B254" t="s">
        <v>1093</v>
      </c>
      <c r="C254" t="s">
        <v>1489</v>
      </c>
      <c r="D254" t="s">
        <v>561</v>
      </c>
      <c r="E254" t="s">
        <v>568</v>
      </c>
      <c r="F254">
        <v>98012.63</v>
      </c>
      <c r="G254" s="3">
        <v>43780</v>
      </c>
      <c r="H254">
        <v>1</v>
      </c>
      <c r="I254" t="s">
        <v>683</v>
      </c>
      <c r="J254" t="s">
        <v>687</v>
      </c>
      <c r="K254" t="s">
        <v>1490</v>
      </c>
    </row>
    <row r="255" spans="1:11" x14ac:dyDescent="0.25">
      <c r="A255" t="s">
        <v>279</v>
      </c>
      <c r="B255" t="s">
        <v>1491</v>
      </c>
      <c r="C255" t="s">
        <v>1002</v>
      </c>
      <c r="D255" t="s">
        <v>560</v>
      </c>
      <c r="E255" t="s">
        <v>566</v>
      </c>
      <c r="F255">
        <v>72876.91</v>
      </c>
      <c r="G255" s="3">
        <v>43837</v>
      </c>
      <c r="H255">
        <v>1</v>
      </c>
      <c r="I255" t="s">
        <v>683</v>
      </c>
      <c r="J255" t="s">
        <v>691</v>
      </c>
      <c r="K255" t="s">
        <v>1492</v>
      </c>
    </row>
    <row r="256" spans="1:11" x14ac:dyDescent="0.25">
      <c r="A256" t="s">
        <v>280</v>
      </c>
      <c r="B256" t="s">
        <v>1493</v>
      </c>
      <c r="C256" t="s">
        <v>1494</v>
      </c>
      <c r="D256" t="s">
        <v>560</v>
      </c>
      <c r="E256" t="s">
        <v>569</v>
      </c>
      <c r="F256">
        <v>92943.89</v>
      </c>
      <c r="G256" s="3">
        <v>44510</v>
      </c>
      <c r="H256">
        <v>1</v>
      </c>
      <c r="I256" t="s">
        <v>683</v>
      </c>
      <c r="J256" t="s">
        <v>691</v>
      </c>
      <c r="K256" t="s">
        <v>964</v>
      </c>
    </row>
    <row r="257" spans="1:11" x14ac:dyDescent="0.25">
      <c r="A257" t="s">
        <v>281</v>
      </c>
      <c r="B257" t="s">
        <v>1003</v>
      </c>
      <c r="C257" t="s">
        <v>1063</v>
      </c>
      <c r="D257" t="s">
        <v>560</v>
      </c>
      <c r="E257" t="s">
        <v>566</v>
      </c>
      <c r="F257">
        <v>29808.07</v>
      </c>
      <c r="G257" s="3">
        <v>43291</v>
      </c>
      <c r="H257">
        <v>0.3</v>
      </c>
      <c r="I257" t="s">
        <v>685</v>
      </c>
      <c r="J257" t="s">
        <v>688</v>
      </c>
      <c r="K257" t="s">
        <v>1495</v>
      </c>
    </row>
    <row r="258" spans="1:11" x14ac:dyDescent="0.25">
      <c r="A258" t="s">
        <v>282</v>
      </c>
      <c r="B258" t="s">
        <v>1496</v>
      </c>
      <c r="C258" t="s">
        <v>1043</v>
      </c>
      <c r="D258" t="s">
        <v>560</v>
      </c>
      <c r="E258" t="s">
        <v>566</v>
      </c>
      <c r="F258">
        <v>47551.89</v>
      </c>
      <c r="G258" s="3">
        <v>43468</v>
      </c>
      <c r="H258">
        <v>1</v>
      </c>
      <c r="I258" t="s">
        <v>683</v>
      </c>
      <c r="J258" t="s">
        <v>690</v>
      </c>
      <c r="K258" t="s">
        <v>966</v>
      </c>
    </row>
    <row r="259" spans="1:11" x14ac:dyDescent="0.25">
      <c r="A259" t="s">
        <v>283</v>
      </c>
      <c r="B259" t="s">
        <v>1497</v>
      </c>
      <c r="C259" t="s">
        <v>1135</v>
      </c>
      <c r="D259" t="s">
        <v>560</v>
      </c>
      <c r="E259" t="s">
        <v>564</v>
      </c>
      <c r="F259">
        <v>39700.82</v>
      </c>
      <c r="G259" s="3">
        <v>44203</v>
      </c>
      <c r="H259">
        <v>0.8</v>
      </c>
      <c r="I259" t="s">
        <v>683</v>
      </c>
      <c r="J259" t="s">
        <v>686</v>
      </c>
      <c r="K259" t="s">
        <v>1498</v>
      </c>
    </row>
    <row r="260" spans="1:11" x14ac:dyDescent="0.25">
      <c r="A260" t="s">
        <v>284</v>
      </c>
      <c r="B260" t="s">
        <v>1315</v>
      </c>
      <c r="C260" t="s">
        <v>1499</v>
      </c>
      <c r="D260" t="s">
        <v>560</v>
      </c>
      <c r="E260" t="s">
        <v>562</v>
      </c>
      <c r="F260">
        <v>31089.22</v>
      </c>
      <c r="G260" s="3">
        <v>43776</v>
      </c>
      <c r="H260">
        <v>1</v>
      </c>
      <c r="I260" t="s">
        <v>684</v>
      </c>
      <c r="J260" t="s">
        <v>689</v>
      </c>
      <c r="K260" t="s">
        <v>1500</v>
      </c>
    </row>
    <row r="261" spans="1:11" x14ac:dyDescent="0.25">
      <c r="A261" t="s">
        <v>285</v>
      </c>
      <c r="B261" t="s">
        <v>1501</v>
      </c>
      <c r="C261" t="s">
        <v>1502</v>
      </c>
      <c r="D261" t="s">
        <v>561</v>
      </c>
      <c r="E261" t="s">
        <v>564</v>
      </c>
      <c r="F261">
        <v>78020.39</v>
      </c>
      <c r="G261" s="3">
        <v>43899</v>
      </c>
      <c r="H261">
        <v>1</v>
      </c>
      <c r="I261" t="s">
        <v>683</v>
      </c>
      <c r="J261" t="s">
        <v>688</v>
      </c>
      <c r="K261" t="s">
        <v>969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E9C0F-0BCD-4D32-BE2A-C1479753235A}">
  <dimension ref="A1:J41"/>
  <sheetViews>
    <sheetView workbookViewId="0">
      <selection activeCell="N24" sqref="N24"/>
    </sheetView>
  </sheetViews>
  <sheetFormatPr defaultRowHeight="15" x14ac:dyDescent="0.25"/>
  <cols>
    <col min="1" max="1" width="12.5703125" customWidth="1"/>
    <col min="2" max="2" width="17.28515625" customWidth="1"/>
    <col min="10" max="10" width="13" customWidth="1"/>
  </cols>
  <sheetData>
    <row r="1" spans="1:10" x14ac:dyDescent="0.25">
      <c r="A1" s="28" t="s">
        <v>1503</v>
      </c>
      <c r="B1" s="28"/>
      <c r="C1" s="28"/>
      <c r="D1" s="28"/>
      <c r="E1" s="28"/>
      <c r="F1" s="28"/>
      <c r="G1" s="28"/>
      <c r="H1" s="28"/>
      <c r="I1" s="28"/>
    </row>
    <row r="3" spans="1:10" ht="15.75" x14ac:dyDescent="0.25">
      <c r="B3" s="4" t="s">
        <v>1504</v>
      </c>
    </row>
    <row r="4" spans="1:10" x14ac:dyDescent="0.25">
      <c r="B4" t="str" cm="1">
        <f t="array" ref="B4:B11">_xlfn.UNIQUE(EMP_TABLE[Department])</f>
        <v>Operations</v>
      </c>
    </row>
    <row r="5" spans="1:10" x14ac:dyDescent="0.25">
      <c r="B5" t="str">
        <v>IT</v>
      </c>
    </row>
    <row r="6" spans="1:10" x14ac:dyDescent="0.25">
      <c r="B6" t="str">
        <v>Marketing</v>
      </c>
    </row>
    <row r="7" spans="1:10" x14ac:dyDescent="0.25">
      <c r="B7" t="str">
        <v>Sales</v>
      </c>
    </row>
    <row r="8" spans="1:10" x14ac:dyDescent="0.25">
      <c r="B8" t="str">
        <v>HR</v>
      </c>
    </row>
    <row r="9" spans="1:10" x14ac:dyDescent="0.25">
      <c r="B9" t="str">
        <v>Customer Support</v>
      </c>
    </row>
    <row r="10" spans="1:10" x14ac:dyDescent="0.25">
      <c r="B10" t="str">
        <v>R&amp;D</v>
      </c>
    </row>
    <row r="11" spans="1:10" x14ac:dyDescent="0.25">
      <c r="B11" t="str">
        <v>Finance</v>
      </c>
    </row>
    <row r="13" spans="1:10" x14ac:dyDescent="0.25">
      <c r="A13" s="28" t="s">
        <v>1505</v>
      </c>
      <c r="B13" s="28"/>
      <c r="C13" s="28"/>
      <c r="D13" s="28"/>
      <c r="E13" s="28"/>
      <c r="F13" s="28"/>
      <c r="H13">
        <f>COUNTIF(EMP_TABLE[Work location],"*GERMANY")</f>
        <v>37</v>
      </c>
    </row>
    <row r="15" spans="1:10" x14ac:dyDescent="0.25">
      <c r="A15" s="29" t="s">
        <v>1506</v>
      </c>
      <c r="B15" s="29"/>
      <c r="C15" s="29"/>
      <c r="D15" s="29"/>
      <c r="E15" s="29"/>
      <c r="F15" s="29"/>
      <c r="G15" s="29"/>
      <c r="H15" s="29"/>
      <c r="J15">
        <f>SUMIF(EMP_TABLE[Department],"HR",EMP_TABLE[Salary])</f>
        <v>2292324.04</v>
      </c>
    </row>
    <row r="17" spans="1:10" x14ac:dyDescent="0.25">
      <c r="A17" s="29" t="s">
        <v>1507</v>
      </c>
      <c r="B17" s="29"/>
      <c r="C17" s="29"/>
      <c r="D17" s="29"/>
      <c r="E17" s="29"/>
      <c r="F17" s="29"/>
      <c r="G17" s="29"/>
      <c r="H17" s="29"/>
      <c r="J17">
        <f>AVERAGEIF(EMP_TABLE[Department],"IT",EMP_TABLE[Salary])</f>
        <v>81480.677777777775</v>
      </c>
    </row>
    <row r="19" spans="1:10" x14ac:dyDescent="0.25">
      <c r="A19" s="29" t="s">
        <v>1508</v>
      </c>
      <c r="B19" s="29"/>
      <c r="C19" s="29"/>
      <c r="D19" s="29"/>
      <c r="E19" s="29"/>
      <c r="F19" s="29"/>
      <c r="G19" s="29"/>
      <c r="J19">
        <f>AVERAGEIFS(EMP_TABLE[Salary],EMP_TABLE[Gender],"MALE",EMP_TABLE[Employee type],"FIXED TERM")</f>
        <v>74129.802800000005</v>
      </c>
    </row>
    <row r="21" spans="1:10" ht="18.75" x14ac:dyDescent="0.3">
      <c r="A21" s="29" t="s">
        <v>1509</v>
      </c>
      <c r="B21" s="29"/>
      <c r="C21" s="29"/>
      <c r="D21" s="29"/>
      <c r="E21" s="29"/>
      <c r="F21" s="29"/>
      <c r="G21" s="29"/>
      <c r="H21" s="29"/>
      <c r="J21" s="5" t="s">
        <v>1510</v>
      </c>
    </row>
    <row r="22" spans="1:10" x14ac:dyDescent="0.25">
      <c r="J22" t="str" cm="1">
        <f t="array" ref="J22:J41">_xlfn._xlws.FILTER(EMP_TABLE[Fname],(EMP_TABLE[Department]="MARKETING")*(EMP_TABLE[Salary]&gt;50000))</f>
        <v>Laura</v>
      </c>
    </row>
    <row r="23" spans="1:10" x14ac:dyDescent="0.25">
      <c r="J23" t="str">
        <v>Chelsea</v>
      </c>
    </row>
    <row r="24" spans="1:10" x14ac:dyDescent="0.25">
      <c r="J24" t="str">
        <v>Michael</v>
      </c>
    </row>
    <row r="25" spans="1:10" x14ac:dyDescent="0.25">
      <c r="J25" t="str">
        <v>Holly</v>
      </c>
    </row>
    <row r="26" spans="1:10" x14ac:dyDescent="0.25">
      <c r="J26" t="str">
        <v>Cheryl</v>
      </c>
    </row>
    <row r="27" spans="1:10" x14ac:dyDescent="0.25">
      <c r="J27" t="str">
        <v>Joseph</v>
      </c>
    </row>
    <row r="28" spans="1:10" x14ac:dyDescent="0.25">
      <c r="J28" t="str">
        <v>Sally</v>
      </c>
    </row>
    <row r="29" spans="1:10" x14ac:dyDescent="0.25">
      <c r="J29" t="str">
        <v>Emily</v>
      </c>
    </row>
    <row r="30" spans="1:10" x14ac:dyDescent="0.25">
      <c r="J30" t="str">
        <v>Jim</v>
      </c>
    </row>
    <row r="31" spans="1:10" x14ac:dyDescent="0.25">
      <c r="J31" t="str">
        <v>Melissa</v>
      </c>
    </row>
    <row r="32" spans="1:10" x14ac:dyDescent="0.25">
      <c r="J32" t="str">
        <v>Sara</v>
      </c>
    </row>
    <row r="33" spans="10:10" x14ac:dyDescent="0.25">
      <c r="J33" t="str">
        <v>Heather</v>
      </c>
    </row>
    <row r="34" spans="10:10" x14ac:dyDescent="0.25">
      <c r="J34" t="str">
        <v>Jeremy</v>
      </c>
    </row>
    <row r="35" spans="10:10" x14ac:dyDescent="0.25">
      <c r="J35" t="str">
        <v>Sandra</v>
      </c>
    </row>
    <row r="36" spans="10:10" x14ac:dyDescent="0.25">
      <c r="J36" t="str">
        <v>David</v>
      </c>
    </row>
    <row r="37" spans="10:10" x14ac:dyDescent="0.25">
      <c r="J37" t="str">
        <v>Linda</v>
      </c>
    </row>
    <row r="38" spans="10:10" x14ac:dyDescent="0.25">
      <c r="J38" t="str">
        <v>Roberto</v>
      </c>
    </row>
    <row r="39" spans="10:10" x14ac:dyDescent="0.25">
      <c r="J39" t="str">
        <v>Erik</v>
      </c>
    </row>
    <row r="40" spans="10:10" x14ac:dyDescent="0.25">
      <c r="J40" t="str">
        <v>Kathy</v>
      </c>
    </row>
    <row r="41" spans="10:10" x14ac:dyDescent="0.25">
      <c r="J41" t="str">
        <v>Andre</v>
      </c>
    </row>
  </sheetData>
  <mergeCells count="6">
    <mergeCell ref="A21:H21"/>
    <mergeCell ref="A1:I1"/>
    <mergeCell ref="A13:F13"/>
    <mergeCell ref="A15:H15"/>
    <mergeCell ref="A17:H17"/>
    <mergeCell ref="A19:G1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4A543-38AC-47D0-8C7E-243BFE4D22BE}">
  <dimension ref="D3:K13"/>
  <sheetViews>
    <sheetView showGridLines="0" zoomScale="120" zoomScaleNormal="120" workbookViewId="0">
      <selection activeCell="J16" sqref="J16"/>
    </sheetView>
  </sheetViews>
  <sheetFormatPr defaultRowHeight="15" x14ac:dyDescent="0.25"/>
  <cols>
    <col min="1" max="1" width="7.28515625" customWidth="1"/>
    <col min="2" max="2" width="4.7109375" customWidth="1"/>
    <col min="3" max="3" width="2" customWidth="1"/>
    <col min="4" max="4" width="17.140625" customWidth="1"/>
    <col min="5" max="5" width="13" bestFit="1" customWidth="1"/>
    <col min="6" max="6" width="12.5703125" customWidth="1"/>
    <col min="7" max="7" width="14.7109375" customWidth="1"/>
    <col min="8" max="8" width="17.42578125" customWidth="1"/>
    <col min="9" max="10" width="13.140625" customWidth="1"/>
    <col min="11" max="11" width="13.5703125" customWidth="1"/>
  </cols>
  <sheetData>
    <row r="3" spans="4:11" x14ac:dyDescent="0.25">
      <c r="D3" s="30" t="s">
        <v>1511</v>
      </c>
      <c r="E3" s="31"/>
      <c r="F3" s="31"/>
      <c r="G3" s="31"/>
      <c r="H3" s="31"/>
      <c r="I3" s="31"/>
      <c r="J3" s="31"/>
      <c r="K3" s="31"/>
    </row>
    <row r="4" spans="4:11" x14ac:dyDescent="0.25">
      <c r="D4" s="31"/>
      <c r="E4" s="31"/>
      <c r="F4" s="31"/>
      <c r="G4" s="31"/>
      <c r="H4" s="31"/>
      <c r="I4" s="31"/>
      <c r="J4" s="31"/>
      <c r="K4" s="31"/>
    </row>
    <row r="5" spans="4:11" ht="24" x14ac:dyDescent="0.25">
      <c r="D5" s="19" t="s">
        <v>1512</v>
      </c>
      <c r="E5" s="17" t="s">
        <v>1513</v>
      </c>
      <c r="F5" s="17" t="s">
        <v>1514</v>
      </c>
      <c r="G5" s="17" t="s">
        <v>1515</v>
      </c>
      <c r="H5" s="18" t="s">
        <v>1516</v>
      </c>
      <c r="I5" s="18" t="s">
        <v>1517</v>
      </c>
      <c r="J5" s="17" t="s">
        <v>1518</v>
      </c>
      <c r="K5" s="18" t="s">
        <v>1519</v>
      </c>
    </row>
    <row r="6" spans="4:11" x14ac:dyDescent="0.25">
      <c r="D6" s="6" t="str" cm="1">
        <f t="array" ref="D6:D13">_xlfn.UNIQUE(EMP_TABLE[Department])</f>
        <v>Operations</v>
      </c>
      <c r="E6" s="6">
        <f>COUNTIF(EMP_TABLE[Department],D6)</f>
        <v>42</v>
      </c>
      <c r="F6" s="7">
        <f>AVERAGEIF(EMP_TABLE[Department],D6,EMP_TABLE[Salary])</f>
        <v>73760.582619047636</v>
      </c>
      <c r="G6" s="7">
        <f>F6-AVERAGE(EMP_TABLE[Salary])</f>
        <v>180.52023443228973</v>
      </c>
      <c r="H6" s="7">
        <f>_xlfn.MAXIFS(EMP_TABLE[Salary],EMP_TABLE[Department],D6)</f>
        <v>120000</v>
      </c>
      <c r="I6" s="7" cm="1">
        <f t="array" ref="I6">MEDIAN(_xlfn._xlws.FILTER(EMP_TABLE[Salary],EMP_TABLE[Department]=D6))</f>
        <v>77341.010000000009</v>
      </c>
      <c r="J6" s="6">
        <f>COUNTIFS(EMP_TABLE[Department],D6,EMP_TABLE[Salary],"&gt;100000")</f>
        <v>6</v>
      </c>
      <c r="K6" s="6">
        <f>_xlfn.RANK.EQ(F6,F6:F13)</f>
        <v>5</v>
      </c>
    </row>
    <row r="7" spans="4:11" x14ac:dyDescent="0.25">
      <c r="D7" s="6" t="str">
        <v>IT</v>
      </c>
      <c r="E7" s="6">
        <f>COUNTIF(EMP_TABLE[Department],D7)</f>
        <v>27</v>
      </c>
      <c r="F7" s="7">
        <f>AVERAGEIF(EMP_TABLE[Department],D7,EMP_TABLE[Salary])</f>
        <v>81480.677777777775</v>
      </c>
      <c r="G7" s="7">
        <f>F7-AVERAGE(EMP_TABLE[Salary])</f>
        <v>7900.6153931624285</v>
      </c>
      <c r="H7" s="7">
        <f>_xlfn.MAXIFS(EMP_TABLE[Salary],EMP_TABLE[Department],D7)</f>
        <v>119022.49</v>
      </c>
      <c r="I7" s="7" cm="1">
        <f t="array" ref="I7">MEDIAN(_xlfn._xlws.FILTER(EMP_TABLE[Salary],EMP_TABLE[Department]=D7))</f>
        <v>78840.23</v>
      </c>
      <c r="J7" s="6">
        <f>COUNTIFS(EMP_TABLE[Department],D7,EMP_TABLE[Salary],"&gt;100000")</f>
        <v>10</v>
      </c>
      <c r="K7" s="6">
        <f t="shared" ref="K7:K13" si="0">_xlfn.RANK.EQ(F7,F7:F14)</f>
        <v>1</v>
      </c>
    </row>
    <row r="8" spans="4:11" x14ac:dyDescent="0.25">
      <c r="D8" s="6" t="str">
        <v>Marketing</v>
      </c>
      <c r="E8" s="6">
        <f>COUNTIF(EMP_TABLE[Department],D8)</f>
        <v>26</v>
      </c>
      <c r="F8" s="7">
        <f>AVERAGEIF(EMP_TABLE[Department],D8,EMP_TABLE[Salary])</f>
        <v>77364.538846153839</v>
      </c>
      <c r="G8" s="7">
        <f>F8-AVERAGE(EMP_TABLE[Salary])</f>
        <v>3784.476461538492</v>
      </c>
      <c r="H8" s="7">
        <f>_xlfn.MAXIFS(EMP_TABLE[Salary],EMP_TABLE[Department],D8)</f>
        <v>120000</v>
      </c>
      <c r="I8" s="7" cm="1">
        <f t="array" ref="I8">MEDIAN(_xlfn._xlws.FILTER(EMP_TABLE[Salary],EMP_TABLE[Department]=D8))</f>
        <v>77170.415000000008</v>
      </c>
      <c r="J8" s="6">
        <f>COUNTIFS(EMP_TABLE[Department],D8,EMP_TABLE[Salary],"&gt;100000")</f>
        <v>6</v>
      </c>
      <c r="K8" s="6">
        <f t="shared" si="0"/>
        <v>1</v>
      </c>
    </row>
    <row r="9" spans="4:11" x14ac:dyDescent="0.25">
      <c r="D9" s="6" t="str">
        <v>Sales</v>
      </c>
      <c r="E9" s="6">
        <f>COUNTIF(EMP_TABLE[Department],D9)</f>
        <v>38</v>
      </c>
      <c r="F9" s="7">
        <f>AVERAGEIF(EMP_TABLE[Department],D9,EMP_TABLE[Salary])</f>
        <v>66766.354473684216</v>
      </c>
      <c r="G9" s="7">
        <f>F9-AVERAGE(EMP_TABLE[Salary])</f>
        <v>-6813.7079109311308</v>
      </c>
      <c r="H9" s="7">
        <f>_xlfn.MAXIFS(EMP_TABLE[Salary],EMP_TABLE[Department],D9)</f>
        <v>114691.03</v>
      </c>
      <c r="I9" s="7" cm="1">
        <f t="array" ref="I9">MEDIAN(_xlfn._xlws.FILTER(EMP_TABLE[Salary],EMP_TABLE[Department]=D9))</f>
        <v>68443.16</v>
      </c>
      <c r="J9" s="6">
        <f>COUNTIFS(EMP_TABLE[Department],D9,EMP_TABLE[Salary],"&gt;100000")</f>
        <v>4</v>
      </c>
      <c r="K9" s="6">
        <f t="shared" si="0"/>
        <v>5</v>
      </c>
    </row>
    <row r="10" spans="4:11" x14ac:dyDescent="0.25">
      <c r="D10" s="6" t="str">
        <v>HR</v>
      </c>
      <c r="E10" s="6">
        <f>COUNTIF(EMP_TABLE[Department],D10)</f>
        <v>31</v>
      </c>
      <c r="F10" s="7">
        <f>AVERAGEIF(EMP_TABLE[Department],D10,EMP_TABLE[Salary])</f>
        <v>73945.936774193557</v>
      </c>
      <c r="G10" s="7">
        <f>F10-AVERAGE(EMP_TABLE[Salary])</f>
        <v>365.87438957820996</v>
      </c>
      <c r="H10" s="7">
        <f>_xlfn.MAXIFS(EMP_TABLE[Salary],EMP_TABLE[Department],D10)</f>
        <v>114425.19</v>
      </c>
      <c r="I10" s="7" cm="1">
        <f t="array" ref="I10">MEDIAN(_xlfn._xlws.FILTER(EMP_TABLE[Salary],EMP_TABLE[Department]=D10))</f>
        <v>71371.37</v>
      </c>
      <c r="J10" s="6">
        <f>COUNTIFS(EMP_TABLE[Department],D10,EMP_TABLE[Salary],"&gt;100000")</f>
        <v>6</v>
      </c>
      <c r="K10" s="6">
        <f t="shared" si="0"/>
        <v>2</v>
      </c>
    </row>
    <row r="11" spans="4:11" x14ac:dyDescent="0.25">
      <c r="D11" s="6" t="str">
        <v>Customer Support</v>
      </c>
      <c r="E11" s="6">
        <f>COUNTIF(EMP_TABLE[Department],D11)</f>
        <v>40</v>
      </c>
      <c r="F11" s="7">
        <f>AVERAGEIF(EMP_TABLE[Department],D11,EMP_TABLE[Salary])</f>
        <v>71094.642250000004</v>
      </c>
      <c r="G11" s="7">
        <f>F11-AVERAGE(EMP_TABLE[Salary])</f>
        <v>-2485.4201346153422</v>
      </c>
      <c r="H11" s="7">
        <f>_xlfn.MAXIFS(EMP_TABLE[Salary],EMP_TABLE[Department],D11)</f>
        <v>116767.63</v>
      </c>
      <c r="I11" s="7" cm="1">
        <f t="array" ref="I11">MEDIAN(_xlfn._xlws.FILTER(EMP_TABLE[Salary],EMP_TABLE[Department]=D11))</f>
        <v>69410.710000000006</v>
      </c>
      <c r="J11" s="6">
        <f>COUNTIFS(EMP_TABLE[Department],D11,EMP_TABLE[Salary],"&gt;100000")</f>
        <v>8</v>
      </c>
      <c r="K11" s="6">
        <f t="shared" si="0"/>
        <v>3</v>
      </c>
    </row>
    <row r="12" spans="4:11" x14ac:dyDescent="0.25">
      <c r="D12" s="6" t="str">
        <v>R&amp;D</v>
      </c>
      <c r="E12" s="6">
        <f>COUNTIF(EMP_TABLE[Department],D12)</f>
        <v>27</v>
      </c>
      <c r="F12" s="7">
        <f>AVERAGEIF(EMP_TABLE[Department],D12,EMP_TABLE[Salary])</f>
        <v>75719.625555555554</v>
      </c>
      <c r="G12" s="7">
        <f>F12-AVERAGE(EMP_TABLE[Salary])</f>
        <v>2139.5631709402078</v>
      </c>
      <c r="H12" s="7">
        <f>_xlfn.MAXIFS(EMP_TABLE[Salary],EMP_TABLE[Department],D12)</f>
        <v>114465.93</v>
      </c>
      <c r="I12" s="7" cm="1">
        <f t="array" ref="I12">MEDIAN(_xlfn._xlws.FILTER(EMP_TABLE[Salary],EMP_TABLE[Department]=D12))</f>
        <v>80695.740000000005</v>
      </c>
      <c r="J12" s="6">
        <f>COUNTIFS(EMP_TABLE[Department],D12,EMP_TABLE[Salary],"&gt;100000")</f>
        <v>3</v>
      </c>
      <c r="K12" s="6">
        <f t="shared" si="0"/>
        <v>1</v>
      </c>
    </row>
    <row r="13" spans="4:11" x14ac:dyDescent="0.25">
      <c r="D13" s="6" t="str">
        <v>Finance</v>
      </c>
      <c r="E13" s="6">
        <f>COUNTIF(EMP_TABLE[Department],D13)</f>
        <v>29</v>
      </c>
      <c r="F13" s="7">
        <f>AVERAGEIF(EMP_TABLE[Department],D13,EMP_TABLE[Salary])</f>
        <v>72543.253448275864</v>
      </c>
      <c r="G13" s="7">
        <f>F13-AVERAGE(EMP_TABLE[Salary])</f>
        <v>-1036.8089363394829</v>
      </c>
      <c r="H13" s="7">
        <f>_xlfn.MAXIFS(EMP_TABLE[Salary],EMP_TABLE[Department],D13)</f>
        <v>114772.32</v>
      </c>
      <c r="I13" s="7" cm="1">
        <f t="array" ref="I13">MEDIAN(_xlfn._xlws.FILTER(EMP_TABLE[Salary],EMP_TABLE[Department]=D13))</f>
        <v>69913.39</v>
      </c>
      <c r="J13" s="6">
        <f>COUNTIFS(EMP_TABLE[Department],D13,EMP_TABLE[Salary],"&gt;100000")</f>
        <v>4</v>
      </c>
      <c r="K13" s="6">
        <f t="shared" si="0"/>
        <v>1</v>
      </c>
    </row>
  </sheetData>
  <mergeCells count="1">
    <mergeCell ref="D3:K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DDDD2-3170-49B8-A29B-8C5B26839A33}">
  <dimension ref="A1:N17"/>
  <sheetViews>
    <sheetView workbookViewId="0">
      <selection activeCell="G18" sqref="G18"/>
    </sheetView>
  </sheetViews>
  <sheetFormatPr defaultRowHeight="15" x14ac:dyDescent="0.25"/>
  <cols>
    <col min="1" max="1" width="23.42578125" customWidth="1"/>
    <col min="2" max="2" width="12.85546875" customWidth="1"/>
    <col min="3" max="3" width="14.7109375" customWidth="1"/>
    <col min="4" max="4" width="12.85546875" customWidth="1"/>
    <col min="5" max="5" width="12.7109375" customWidth="1"/>
    <col min="6" max="6" width="13" customWidth="1"/>
    <col min="7" max="7" width="12.28515625" customWidth="1"/>
    <col min="8" max="8" width="13.140625" customWidth="1"/>
    <col min="9" max="9" width="15.42578125" customWidth="1"/>
    <col min="10" max="10" width="16.7109375" customWidth="1"/>
    <col min="11" max="11" width="16.28515625" customWidth="1"/>
  </cols>
  <sheetData>
    <row r="1" spans="1:14" ht="21.75" customHeight="1" x14ac:dyDescent="0.25">
      <c r="A1" s="32" t="s">
        <v>1520</v>
      </c>
      <c r="B1" s="8" t="s">
        <v>1521</v>
      </c>
      <c r="C1" s="8" t="s">
        <v>1522</v>
      </c>
      <c r="D1" s="8" t="s">
        <v>1523</v>
      </c>
      <c r="E1" s="8" t="s">
        <v>1524</v>
      </c>
      <c r="F1" s="8" t="s">
        <v>1525</v>
      </c>
    </row>
    <row r="2" spans="1:14" ht="21" customHeight="1" x14ac:dyDescent="0.25">
      <c r="A2" s="32"/>
      <c r="B2" s="9" t="s">
        <v>1526</v>
      </c>
      <c r="C2" s="10" t="s">
        <v>1527</v>
      </c>
      <c r="D2" s="9" t="s">
        <v>1541</v>
      </c>
      <c r="E2" s="9" t="s">
        <v>1512</v>
      </c>
      <c r="F2" s="9" t="s">
        <v>1526</v>
      </c>
      <c r="G2" s="38" t="s">
        <v>1542</v>
      </c>
      <c r="H2" s="39"/>
      <c r="I2" s="39"/>
      <c r="J2" s="39"/>
      <c r="K2" s="39"/>
      <c r="L2" s="39"/>
      <c r="M2" s="39"/>
    </row>
    <row r="3" spans="1:14" x14ac:dyDescent="0.25">
      <c r="A3" s="11" t="s">
        <v>11</v>
      </c>
      <c r="B3" s="11" t="str">
        <f>VLOOKUP(A3,EMP_TABLE[],2,FALSE)</f>
        <v>David</v>
      </c>
      <c r="C3" s="11" t="str">
        <f>_xlfn.XLOOKUP(A3,EMP_TABLE[Emp ID],EMP_TABLE[Work location],"INVALID EMP_ID")</f>
        <v>Sydney, Australia</v>
      </c>
      <c r="D3" s="11">
        <f>MATCH(A3,EMP_TABLE[Emp ID],0)</f>
        <v>2</v>
      </c>
      <c r="E3" s="11" t="str" cm="1">
        <f t="array" ref="E3">INDEX(EMP_TABLE[Department],D3)</f>
        <v>IT</v>
      </c>
      <c r="F3" s="11"/>
    </row>
    <row r="8" spans="1:14" x14ac:dyDescent="0.25">
      <c r="A8" s="33" t="s">
        <v>1528</v>
      </c>
      <c r="B8" s="33"/>
      <c r="C8" s="33"/>
      <c r="D8" s="33"/>
      <c r="E8" s="33"/>
      <c r="F8" s="33"/>
      <c r="G8" s="33"/>
      <c r="H8" s="33"/>
      <c r="I8" s="33"/>
      <c r="J8" s="33"/>
      <c r="K8" s="33"/>
    </row>
    <row r="9" spans="1:14" x14ac:dyDescent="0.25">
      <c r="A9" s="12" t="s">
        <v>1529</v>
      </c>
      <c r="B9" s="12" t="s">
        <v>1530</v>
      </c>
      <c r="C9" s="12" t="s">
        <v>1531</v>
      </c>
      <c r="D9" s="12" t="s">
        <v>1532</v>
      </c>
      <c r="E9" s="12" t="s">
        <v>1512</v>
      </c>
      <c r="F9" s="12" t="s">
        <v>1533</v>
      </c>
      <c r="G9" s="12" t="s">
        <v>1534</v>
      </c>
      <c r="H9" s="12" t="s">
        <v>6</v>
      </c>
      <c r="I9" s="12" t="s">
        <v>1535</v>
      </c>
      <c r="J9" s="12" t="s">
        <v>1536</v>
      </c>
      <c r="K9" s="12" t="s">
        <v>1537</v>
      </c>
    </row>
    <row r="10" spans="1:14" x14ac:dyDescent="0.25">
      <c r="A10" s="13" t="str">
        <f>_xlfn.XLOOKUP(A3,EMP_TABLE[Emp ID],EMP_TABLE[Emp ID],"INVAALID ID")</f>
        <v>LK95323</v>
      </c>
      <c r="B10" s="13" t="str">
        <f>_xlfn.XLOOKUP(A10,EMP_TABLE[Emp ID],EMP_TABLE[Fname],"ENTER A VALID EMP_ID")</f>
        <v>David</v>
      </c>
      <c r="C10" s="13" t="str">
        <f>_xlfn.XLOOKUP(A10,EMP_TABLE[Emp ID],EMP_TABLE[Lname],"ENTER A VALID EMP_ID")</f>
        <v>Edwards</v>
      </c>
      <c r="D10" s="13" t="str">
        <f>_xlfn.XLOOKUP(A10,EMP_TABLE[Emp ID],EMP_TABLE[Gender],"ENTER A VALID EMP_ID")</f>
        <v>Male</v>
      </c>
      <c r="E10" s="13" t="str">
        <f>_xlfn.XLOOKUP(A10,EMP_TABLE[Emp ID],EMP_TABLE[Department],"ENTER A VALID EMP_ID")</f>
        <v>IT</v>
      </c>
      <c r="F10" s="13">
        <f>_xlfn.XLOOKUP(A10,EMP_TABLE[Emp ID],EMP_TABLE[Salary],"ENTER A VALID EMP_ID")</f>
        <v>98000</v>
      </c>
      <c r="G10" s="21">
        <f>_xlfn.XLOOKUP(A10,EMP_TABLE[Emp ID],EMP_TABLE[Start Date],"ENTER A VALID EMP_ID")</f>
        <v>43710</v>
      </c>
      <c r="H10" s="13">
        <f>_xlfn.XLOOKUP(A10,EMP_TABLE[Emp ID],EMP_TABLE[FTE],"ENTER A VALID EMP_ID")</f>
        <v>0.9</v>
      </c>
      <c r="I10" s="13" t="str">
        <f>_xlfn.XLOOKUP(A10,EMP_TABLE[Emp ID],EMP_TABLE[Employee type],"ENTER A VALID EMP_ID")</f>
        <v>Permanent</v>
      </c>
      <c r="J10" s="13" t="str">
        <f>_xlfn.XLOOKUP(A10,EMP_TABLE[Emp ID],EMP_TABLE[Work location],"ENTER A VALID EMP_ID")</f>
        <v>Sydney, Australia</v>
      </c>
      <c r="K10" s="13" t="str">
        <f>_xlfn.XLOOKUP(A10,EMP_TABLE[Emp ID],EMP_TABLE[Mobile Number],"ENTER A VALID EMP_ID")</f>
        <v>9956180161</v>
      </c>
    </row>
    <row r="11" spans="1:14" x14ac:dyDescent="0.25">
      <c r="A11" s="22" t="str" cm="1">
        <f t="array" ref="A11:K11">_xlfn.XLOOKUP(A3,EMP_TABLE[Emp ID],EMP_TABLE[],"INVALID EMP_ID")</f>
        <v>LK95323</v>
      </c>
      <c r="B11" s="22" t="str">
        <v>David</v>
      </c>
      <c r="C11" s="22" t="str">
        <v>Edwards</v>
      </c>
      <c r="D11" s="22" t="str">
        <v>Male</v>
      </c>
      <c r="E11" s="22" t="str">
        <v>IT</v>
      </c>
      <c r="F11" s="22">
        <v>98000</v>
      </c>
      <c r="G11" s="23">
        <v>43710</v>
      </c>
      <c r="H11" s="22">
        <v>0.9</v>
      </c>
      <c r="I11" s="22" t="str">
        <v>Permanent</v>
      </c>
      <c r="J11" s="22" t="str">
        <v>Sydney, Australia</v>
      </c>
      <c r="K11" s="22" t="str">
        <v>9956180161</v>
      </c>
    </row>
    <row r="14" spans="1:14" ht="24" customHeight="1" x14ac:dyDescent="0.35">
      <c r="A14" s="34" t="s">
        <v>1538</v>
      </c>
      <c r="B14" s="34"/>
      <c r="I14" s="36" t="s">
        <v>1526</v>
      </c>
      <c r="J14" s="37"/>
      <c r="K14" s="40" t="s">
        <v>1545</v>
      </c>
      <c r="L14" s="41"/>
      <c r="M14" s="41"/>
      <c r="N14" s="41"/>
    </row>
    <row r="15" spans="1:14" x14ac:dyDescent="0.25">
      <c r="A15" s="16" t="s">
        <v>1539</v>
      </c>
      <c r="B15" s="14" t="str" cm="1">
        <f t="array" ref="B15">_xlfn.XLOOKUP(TRUE,EMP_TABLE[Salary]&gt;=120000,EMP_TABLE[Emp ID])</f>
        <v>XW68029</v>
      </c>
      <c r="C15" s="40" t="s">
        <v>1543</v>
      </c>
      <c r="D15" s="41"/>
      <c r="E15" s="41"/>
      <c r="I15" s="14" t="s">
        <v>1539</v>
      </c>
      <c r="J15" s="14" t="str" cm="1">
        <f t="array" ref="J15">_xlfn.XLOOKUP(MAX(EMP_TABLE[Salary]),EMP_TABLE[Salary],EMP_TABLE[Fname]&amp;" "&amp; EMP_TABLE[Lname])</f>
        <v>Michael Davis</v>
      </c>
    </row>
    <row r="16" spans="1:14" x14ac:dyDescent="0.25">
      <c r="A16" s="35" t="s">
        <v>1540</v>
      </c>
      <c r="B16" s="15" t="str" cm="1">
        <f t="array" ref="B16:B17">_xlfn._xlws.FILTER(EMP_TABLE[Emp ID],EMP_TABLE[Salary]&gt;=120000)</f>
        <v>XW68029</v>
      </c>
      <c r="I16" s="15" t="s">
        <v>1540</v>
      </c>
      <c r="J16" s="15" t="str" cm="1">
        <f t="array" ref="J16:J17">_xlfn._xlws.FILTER(EMP_TABLE[Fname]&amp;" "&amp;EMP_TABLE[Lname],EMP_TABLE[Salary]=MAX(EMP_TABLE[Salary]))</f>
        <v>Michael Davis</v>
      </c>
    </row>
    <row r="17" spans="1:11" x14ac:dyDescent="0.25">
      <c r="A17" s="35"/>
      <c r="B17" s="15" t="str">
        <v>LE46327</v>
      </c>
      <c r="C17" s="40" t="s">
        <v>1544</v>
      </c>
      <c r="D17" s="41"/>
      <c r="E17" s="41"/>
      <c r="J17" t="str">
        <v>Laura Lawrence</v>
      </c>
      <c r="K17" t="s">
        <v>1546</v>
      </c>
    </row>
  </sheetData>
  <mergeCells count="9">
    <mergeCell ref="A1:A2"/>
    <mergeCell ref="A8:K8"/>
    <mergeCell ref="A14:B14"/>
    <mergeCell ref="A16:A17"/>
    <mergeCell ref="I14:J14"/>
    <mergeCell ref="G2:M2"/>
    <mergeCell ref="C15:E15"/>
    <mergeCell ref="C17:E17"/>
    <mergeCell ref="K14:N1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AA581-D10F-4BAB-932C-54C200A2A99E}">
  <dimension ref="A1:G1001"/>
  <sheetViews>
    <sheetView workbookViewId="0">
      <selection activeCell="K11" sqref="K11"/>
    </sheetView>
  </sheetViews>
  <sheetFormatPr defaultRowHeight="15" x14ac:dyDescent="0.25"/>
  <cols>
    <col min="1" max="1" width="12.85546875" customWidth="1"/>
    <col min="2" max="2" width="13.42578125" customWidth="1"/>
    <col min="3" max="3" width="15.140625" customWidth="1"/>
    <col min="4" max="4" width="15" customWidth="1"/>
    <col min="5" max="5" width="17.140625" customWidth="1"/>
    <col min="6" max="6" width="12.42578125" customWidth="1"/>
    <col min="7" max="7" width="13.85546875" customWidth="1"/>
  </cols>
  <sheetData>
    <row r="1" spans="1:7" x14ac:dyDescent="0.25">
      <c r="A1" s="2" t="s">
        <v>1547</v>
      </c>
      <c r="B1" s="2" t="s">
        <v>1572</v>
      </c>
      <c r="C1" s="2" t="s">
        <v>1571</v>
      </c>
      <c r="D1" s="2" t="s">
        <v>1570</v>
      </c>
      <c r="E1" s="2" t="s">
        <v>1569</v>
      </c>
      <c r="F1" s="2" t="s">
        <v>1099</v>
      </c>
      <c r="G1" s="2" t="s">
        <v>565</v>
      </c>
    </row>
    <row r="2" spans="1:7" x14ac:dyDescent="0.25">
      <c r="A2" t="s">
        <v>1552</v>
      </c>
      <c r="B2" t="s">
        <v>1551</v>
      </c>
      <c r="C2" t="s">
        <v>1558</v>
      </c>
      <c r="D2" t="s">
        <v>1562</v>
      </c>
      <c r="E2">
        <v>10</v>
      </c>
      <c r="F2">
        <v>23149</v>
      </c>
      <c r="G2">
        <v>231490</v>
      </c>
    </row>
    <row r="3" spans="1:7" x14ac:dyDescent="0.25">
      <c r="A3" t="s">
        <v>1566</v>
      </c>
      <c r="B3" t="s">
        <v>1567</v>
      </c>
      <c r="C3" t="s">
        <v>1550</v>
      </c>
      <c r="D3" t="s">
        <v>1560</v>
      </c>
      <c r="E3">
        <v>3</v>
      </c>
      <c r="F3">
        <v>2893</v>
      </c>
      <c r="G3">
        <v>8679</v>
      </c>
    </row>
    <row r="4" spans="1:7" x14ac:dyDescent="0.25">
      <c r="A4" t="s">
        <v>1555</v>
      </c>
      <c r="B4" t="s">
        <v>1561</v>
      </c>
      <c r="C4" t="s">
        <v>1557</v>
      </c>
      <c r="D4" t="s">
        <v>1556</v>
      </c>
      <c r="E4">
        <v>10</v>
      </c>
      <c r="F4">
        <v>8806</v>
      </c>
      <c r="G4">
        <v>88060</v>
      </c>
    </row>
    <row r="5" spans="1:7" x14ac:dyDescent="0.25">
      <c r="A5" t="s">
        <v>1566</v>
      </c>
      <c r="B5" t="s">
        <v>1567</v>
      </c>
      <c r="C5" t="s">
        <v>1557</v>
      </c>
      <c r="D5" t="s">
        <v>1568</v>
      </c>
      <c r="E5">
        <v>6</v>
      </c>
      <c r="F5">
        <v>10978</v>
      </c>
      <c r="G5">
        <v>65868</v>
      </c>
    </row>
    <row r="6" spans="1:7" x14ac:dyDescent="0.25">
      <c r="A6" t="s">
        <v>1552</v>
      </c>
      <c r="B6" t="s">
        <v>1551</v>
      </c>
      <c r="C6" t="s">
        <v>1565</v>
      </c>
      <c r="D6" t="s">
        <v>1553</v>
      </c>
      <c r="E6">
        <v>5</v>
      </c>
      <c r="F6">
        <v>8777</v>
      </c>
      <c r="G6">
        <v>43885</v>
      </c>
    </row>
    <row r="7" spans="1:7" x14ac:dyDescent="0.25">
      <c r="A7" t="s">
        <v>1564</v>
      </c>
      <c r="B7" t="s">
        <v>1561</v>
      </c>
      <c r="C7" t="s">
        <v>1554</v>
      </c>
      <c r="D7" t="s">
        <v>1560</v>
      </c>
      <c r="E7">
        <v>5</v>
      </c>
      <c r="F7">
        <v>14359</v>
      </c>
      <c r="G7">
        <v>71795</v>
      </c>
    </row>
    <row r="8" spans="1:7" x14ac:dyDescent="0.25">
      <c r="A8" t="s">
        <v>1564</v>
      </c>
      <c r="B8" t="s">
        <v>1567</v>
      </c>
      <c r="C8" t="s">
        <v>1550</v>
      </c>
      <c r="D8" t="s">
        <v>1562</v>
      </c>
      <c r="E8">
        <v>4</v>
      </c>
      <c r="F8">
        <v>15337</v>
      </c>
      <c r="G8">
        <v>138033</v>
      </c>
    </row>
    <row r="9" spans="1:7" x14ac:dyDescent="0.25">
      <c r="A9" t="s">
        <v>1564</v>
      </c>
      <c r="B9" t="s">
        <v>1567</v>
      </c>
      <c r="C9" t="s">
        <v>1557</v>
      </c>
      <c r="D9" t="s">
        <v>1549</v>
      </c>
      <c r="E9">
        <v>8</v>
      </c>
      <c r="F9">
        <v>14135</v>
      </c>
      <c r="G9">
        <v>113080</v>
      </c>
    </row>
    <row r="10" spans="1:7" x14ac:dyDescent="0.25">
      <c r="A10" t="s">
        <v>1563</v>
      </c>
      <c r="B10" t="s">
        <v>1561</v>
      </c>
      <c r="C10" t="s">
        <v>1565</v>
      </c>
      <c r="D10" t="s">
        <v>1560</v>
      </c>
      <c r="E10">
        <v>4</v>
      </c>
      <c r="F10">
        <v>29761</v>
      </c>
      <c r="G10">
        <v>119044</v>
      </c>
    </row>
    <row r="11" spans="1:7" x14ac:dyDescent="0.25">
      <c r="A11" t="s">
        <v>1566</v>
      </c>
      <c r="B11" t="s">
        <v>1567</v>
      </c>
      <c r="C11" t="s">
        <v>1558</v>
      </c>
      <c r="D11" t="s">
        <v>1562</v>
      </c>
      <c r="E11">
        <v>6</v>
      </c>
      <c r="F11">
        <v>3667</v>
      </c>
      <c r="G11">
        <v>22002</v>
      </c>
    </row>
    <row r="12" spans="1:7" x14ac:dyDescent="0.25">
      <c r="A12" t="s">
        <v>1555</v>
      </c>
      <c r="B12" t="s">
        <v>1561</v>
      </c>
      <c r="C12" t="s">
        <v>1558</v>
      </c>
      <c r="D12" t="s">
        <v>1568</v>
      </c>
      <c r="E12">
        <v>7</v>
      </c>
      <c r="F12">
        <v>20079</v>
      </c>
      <c r="G12">
        <v>140553</v>
      </c>
    </row>
    <row r="13" spans="1:7" x14ac:dyDescent="0.25">
      <c r="A13" t="s">
        <v>1552</v>
      </c>
      <c r="B13" t="s">
        <v>1551</v>
      </c>
      <c r="C13" t="s">
        <v>1550</v>
      </c>
      <c r="D13" t="s">
        <v>1553</v>
      </c>
      <c r="E13">
        <v>4</v>
      </c>
      <c r="F13">
        <v>10486</v>
      </c>
      <c r="G13">
        <v>41944</v>
      </c>
    </row>
    <row r="14" spans="1:7" x14ac:dyDescent="0.25">
      <c r="A14" t="s">
        <v>1566</v>
      </c>
      <c r="B14" t="s">
        <v>1551</v>
      </c>
      <c r="C14" t="s">
        <v>1565</v>
      </c>
      <c r="D14" t="s">
        <v>1556</v>
      </c>
      <c r="E14">
        <v>5</v>
      </c>
      <c r="F14">
        <v>5389</v>
      </c>
      <c r="G14">
        <v>26945</v>
      </c>
    </row>
    <row r="15" spans="1:7" x14ac:dyDescent="0.25">
      <c r="A15" t="s">
        <v>1552</v>
      </c>
      <c r="B15" t="s">
        <v>1561</v>
      </c>
      <c r="C15" t="s">
        <v>1557</v>
      </c>
      <c r="D15" t="s">
        <v>1562</v>
      </c>
      <c r="E15">
        <v>8</v>
      </c>
      <c r="F15">
        <v>24111</v>
      </c>
      <c r="G15">
        <v>192888</v>
      </c>
    </row>
    <row r="16" spans="1:7" x14ac:dyDescent="0.25">
      <c r="A16" t="s">
        <v>1566</v>
      </c>
      <c r="B16" t="s">
        <v>1551</v>
      </c>
      <c r="C16" t="s">
        <v>1554</v>
      </c>
      <c r="D16" t="s">
        <v>1556</v>
      </c>
      <c r="E16">
        <v>5</v>
      </c>
      <c r="F16">
        <v>23359</v>
      </c>
      <c r="G16">
        <v>116795</v>
      </c>
    </row>
    <row r="17" spans="1:7" x14ac:dyDescent="0.25">
      <c r="A17" t="s">
        <v>1566</v>
      </c>
      <c r="B17" t="s">
        <v>1551</v>
      </c>
      <c r="C17" t="s">
        <v>1558</v>
      </c>
      <c r="D17" t="s">
        <v>1556</v>
      </c>
      <c r="E17">
        <v>6</v>
      </c>
      <c r="F17">
        <v>11655</v>
      </c>
      <c r="G17">
        <v>69930</v>
      </c>
    </row>
    <row r="18" spans="1:7" x14ac:dyDescent="0.25">
      <c r="A18" t="s">
        <v>1563</v>
      </c>
      <c r="B18" t="s">
        <v>1561</v>
      </c>
      <c r="C18" t="s">
        <v>1554</v>
      </c>
      <c r="D18" t="s">
        <v>1562</v>
      </c>
      <c r="E18">
        <v>3</v>
      </c>
      <c r="F18">
        <v>1967</v>
      </c>
      <c r="G18">
        <v>5901</v>
      </c>
    </row>
    <row r="19" spans="1:7" x14ac:dyDescent="0.25">
      <c r="A19" t="s">
        <v>1552</v>
      </c>
      <c r="B19" t="s">
        <v>1561</v>
      </c>
      <c r="C19" t="s">
        <v>1558</v>
      </c>
      <c r="D19" t="s">
        <v>1549</v>
      </c>
      <c r="E19">
        <v>9</v>
      </c>
      <c r="F19">
        <v>29101</v>
      </c>
      <c r="G19">
        <v>261909</v>
      </c>
    </row>
    <row r="20" spans="1:7" x14ac:dyDescent="0.25">
      <c r="A20" t="s">
        <v>1564</v>
      </c>
      <c r="B20" t="s">
        <v>1567</v>
      </c>
      <c r="C20" t="s">
        <v>1558</v>
      </c>
      <c r="D20" t="s">
        <v>1568</v>
      </c>
      <c r="E20">
        <v>9</v>
      </c>
      <c r="F20">
        <v>21105</v>
      </c>
      <c r="G20">
        <v>189945</v>
      </c>
    </row>
    <row r="21" spans="1:7" x14ac:dyDescent="0.25">
      <c r="A21" t="s">
        <v>1566</v>
      </c>
      <c r="B21" t="s">
        <v>1559</v>
      </c>
      <c r="C21" t="s">
        <v>1554</v>
      </c>
      <c r="D21" t="s">
        <v>1553</v>
      </c>
      <c r="E21">
        <v>7</v>
      </c>
      <c r="F21">
        <v>19628</v>
      </c>
      <c r="G21">
        <v>137396</v>
      </c>
    </row>
    <row r="22" spans="1:7" x14ac:dyDescent="0.25">
      <c r="A22" t="s">
        <v>1566</v>
      </c>
      <c r="B22" t="s">
        <v>1567</v>
      </c>
      <c r="C22" t="s">
        <v>1557</v>
      </c>
      <c r="D22" t="s">
        <v>1556</v>
      </c>
      <c r="E22">
        <v>10</v>
      </c>
      <c r="F22">
        <v>19849</v>
      </c>
      <c r="G22">
        <v>198490</v>
      </c>
    </row>
    <row r="23" spans="1:7" x14ac:dyDescent="0.25">
      <c r="A23" t="s">
        <v>1555</v>
      </c>
      <c r="B23" t="s">
        <v>1559</v>
      </c>
      <c r="C23" t="s">
        <v>1550</v>
      </c>
      <c r="D23" t="s">
        <v>1568</v>
      </c>
      <c r="E23">
        <v>7</v>
      </c>
      <c r="F23">
        <v>11668</v>
      </c>
      <c r="G23">
        <v>81676</v>
      </c>
    </row>
    <row r="24" spans="1:7" x14ac:dyDescent="0.25">
      <c r="A24" t="s">
        <v>1564</v>
      </c>
      <c r="B24" t="s">
        <v>1551</v>
      </c>
      <c r="C24" t="s">
        <v>1565</v>
      </c>
      <c r="D24" t="s">
        <v>1568</v>
      </c>
      <c r="E24">
        <v>1</v>
      </c>
      <c r="F24">
        <v>17697</v>
      </c>
      <c r="G24">
        <v>17697</v>
      </c>
    </row>
    <row r="25" spans="1:7" x14ac:dyDescent="0.25">
      <c r="A25" t="s">
        <v>1564</v>
      </c>
      <c r="B25" t="s">
        <v>1551</v>
      </c>
      <c r="C25" t="s">
        <v>1558</v>
      </c>
      <c r="D25" t="s">
        <v>1553</v>
      </c>
      <c r="E25">
        <v>4</v>
      </c>
      <c r="F25">
        <v>1083</v>
      </c>
      <c r="G25">
        <v>4332</v>
      </c>
    </row>
    <row r="26" spans="1:7" x14ac:dyDescent="0.25">
      <c r="A26" t="s">
        <v>1552</v>
      </c>
      <c r="B26" t="s">
        <v>1561</v>
      </c>
      <c r="C26" t="s">
        <v>1565</v>
      </c>
      <c r="D26" t="s">
        <v>1560</v>
      </c>
      <c r="E26">
        <v>5</v>
      </c>
      <c r="F26">
        <v>8994</v>
      </c>
      <c r="G26">
        <v>44970</v>
      </c>
    </row>
    <row r="27" spans="1:7" x14ac:dyDescent="0.25">
      <c r="A27" t="s">
        <v>1552</v>
      </c>
      <c r="B27" t="s">
        <v>1551</v>
      </c>
      <c r="C27" t="s">
        <v>1550</v>
      </c>
      <c r="D27" t="s">
        <v>1556</v>
      </c>
      <c r="E27">
        <v>7</v>
      </c>
      <c r="F27">
        <v>21294</v>
      </c>
      <c r="G27">
        <v>149058</v>
      </c>
    </row>
    <row r="28" spans="1:7" x14ac:dyDescent="0.25">
      <c r="A28" t="s">
        <v>1563</v>
      </c>
      <c r="B28" t="s">
        <v>1559</v>
      </c>
      <c r="C28" t="s">
        <v>1565</v>
      </c>
      <c r="D28" t="s">
        <v>1568</v>
      </c>
      <c r="E28">
        <v>3</v>
      </c>
      <c r="F28">
        <v>29088</v>
      </c>
      <c r="G28">
        <v>87264</v>
      </c>
    </row>
    <row r="29" spans="1:7" x14ac:dyDescent="0.25">
      <c r="A29" t="s">
        <v>1564</v>
      </c>
      <c r="B29" t="s">
        <v>1561</v>
      </c>
      <c r="C29" t="s">
        <v>1554</v>
      </c>
      <c r="D29" t="s">
        <v>1568</v>
      </c>
      <c r="E29">
        <v>2</v>
      </c>
      <c r="F29">
        <v>11447</v>
      </c>
      <c r="G29">
        <v>22894</v>
      </c>
    </row>
    <row r="30" spans="1:7" x14ac:dyDescent="0.25">
      <c r="A30" t="s">
        <v>1552</v>
      </c>
      <c r="B30" t="s">
        <v>1551</v>
      </c>
      <c r="C30" t="s">
        <v>1557</v>
      </c>
      <c r="D30" t="s">
        <v>1553</v>
      </c>
      <c r="E30">
        <v>8</v>
      </c>
      <c r="F30">
        <v>3418</v>
      </c>
      <c r="G30">
        <v>27344</v>
      </c>
    </row>
    <row r="31" spans="1:7" x14ac:dyDescent="0.25">
      <c r="A31" t="s">
        <v>1566</v>
      </c>
      <c r="B31" t="s">
        <v>1551</v>
      </c>
      <c r="C31" t="s">
        <v>1550</v>
      </c>
      <c r="D31" t="s">
        <v>1556</v>
      </c>
      <c r="E31">
        <v>8</v>
      </c>
      <c r="F31">
        <v>9633</v>
      </c>
      <c r="G31">
        <v>77064</v>
      </c>
    </row>
    <row r="32" spans="1:7" x14ac:dyDescent="0.25">
      <c r="A32" t="s">
        <v>1552</v>
      </c>
      <c r="B32" t="s">
        <v>1561</v>
      </c>
      <c r="C32" t="s">
        <v>1554</v>
      </c>
      <c r="D32" t="s">
        <v>1556</v>
      </c>
      <c r="E32">
        <v>9</v>
      </c>
      <c r="F32">
        <v>27221</v>
      </c>
      <c r="G32">
        <v>244989</v>
      </c>
    </row>
    <row r="33" spans="1:7" x14ac:dyDescent="0.25">
      <c r="A33" t="s">
        <v>1566</v>
      </c>
      <c r="B33" t="s">
        <v>1551</v>
      </c>
      <c r="C33" t="s">
        <v>1565</v>
      </c>
      <c r="D33" t="s">
        <v>1568</v>
      </c>
      <c r="E33">
        <v>1</v>
      </c>
      <c r="F33">
        <v>20073</v>
      </c>
      <c r="G33">
        <v>20073</v>
      </c>
    </row>
    <row r="34" spans="1:7" x14ac:dyDescent="0.25">
      <c r="A34" t="s">
        <v>1563</v>
      </c>
      <c r="B34" t="s">
        <v>1551</v>
      </c>
      <c r="C34" t="s">
        <v>1565</v>
      </c>
      <c r="D34" t="s">
        <v>1553</v>
      </c>
      <c r="E34">
        <v>6</v>
      </c>
      <c r="F34">
        <v>12418</v>
      </c>
      <c r="G34">
        <v>74508</v>
      </c>
    </row>
    <row r="35" spans="1:7" x14ac:dyDescent="0.25">
      <c r="A35" t="s">
        <v>1563</v>
      </c>
      <c r="B35" t="s">
        <v>1561</v>
      </c>
      <c r="C35" t="s">
        <v>1558</v>
      </c>
      <c r="D35" t="s">
        <v>1556</v>
      </c>
      <c r="E35">
        <v>8</v>
      </c>
      <c r="F35">
        <v>14804</v>
      </c>
      <c r="G35">
        <v>118432</v>
      </c>
    </row>
    <row r="36" spans="1:7" x14ac:dyDescent="0.25">
      <c r="A36" t="s">
        <v>1563</v>
      </c>
      <c r="B36" t="s">
        <v>1561</v>
      </c>
      <c r="C36" t="s">
        <v>1550</v>
      </c>
      <c r="D36" t="s">
        <v>1560</v>
      </c>
      <c r="E36">
        <v>1</v>
      </c>
      <c r="F36">
        <v>14311</v>
      </c>
      <c r="G36">
        <v>14311</v>
      </c>
    </row>
    <row r="37" spans="1:7" x14ac:dyDescent="0.25">
      <c r="A37" t="s">
        <v>1552</v>
      </c>
      <c r="B37" t="s">
        <v>1567</v>
      </c>
      <c r="C37" t="s">
        <v>1550</v>
      </c>
      <c r="D37" t="s">
        <v>1549</v>
      </c>
      <c r="E37">
        <v>8</v>
      </c>
      <c r="F37">
        <v>17147</v>
      </c>
      <c r="G37">
        <v>137176</v>
      </c>
    </row>
    <row r="38" spans="1:7" x14ac:dyDescent="0.25">
      <c r="A38" t="s">
        <v>1564</v>
      </c>
      <c r="B38" t="s">
        <v>1561</v>
      </c>
      <c r="C38" t="s">
        <v>1550</v>
      </c>
      <c r="D38" t="s">
        <v>1549</v>
      </c>
      <c r="E38">
        <v>2</v>
      </c>
      <c r="F38">
        <v>26273</v>
      </c>
      <c r="G38">
        <v>52546</v>
      </c>
    </row>
    <row r="39" spans="1:7" x14ac:dyDescent="0.25">
      <c r="A39" t="s">
        <v>1566</v>
      </c>
      <c r="B39" t="s">
        <v>1559</v>
      </c>
      <c r="C39" t="s">
        <v>1565</v>
      </c>
      <c r="D39" t="s">
        <v>1560</v>
      </c>
      <c r="E39">
        <v>10</v>
      </c>
      <c r="F39">
        <v>7658</v>
      </c>
      <c r="G39">
        <v>76580</v>
      </c>
    </row>
    <row r="40" spans="1:7" x14ac:dyDescent="0.25">
      <c r="A40" t="s">
        <v>1555</v>
      </c>
      <c r="B40" t="s">
        <v>1567</v>
      </c>
      <c r="C40" t="s">
        <v>1565</v>
      </c>
      <c r="D40" t="s">
        <v>1568</v>
      </c>
      <c r="E40">
        <v>8</v>
      </c>
      <c r="F40">
        <v>15502</v>
      </c>
      <c r="G40">
        <v>124016</v>
      </c>
    </row>
    <row r="41" spans="1:7" x14ac:dyDescent="0.25">
      <c r="A41" t="s">
        <v>1566</v>
      </c>
      <c r="B41" t="s">
        <v>1559</v>
      </c>
      <c r="C41" t="s">
        <v>1558</v>
      </c>
      <c r="D41" t="s">
        <v>1556</v>
      </c>
      <c r="E41">
        <v>1</v>
      </c>
      <c r="F41">
        <v>14039</v>
      </c>
      <c r="G41">
        <v>14039</v>
      </c>
    </row>
    <row r="42" spans="1:7" x14ac:dyDescent="0.25">
      <c r="A42" t="s">
        <v>1566</v>
      </c>
      <c r="B42" t="s">
        <v>1559</v>
      </c>
      <c r="C42" t="s">
        <v>1554</v>
      </c>
      <c r="D42" t="s">
        <v>1562</v>
      </c>
      <c r="E42">
        <v>5</v>
      </c>
      <c r="F42">
        <v>27031</v>
      </c>
      <c r="G42">
        <v>135155</v>
      </c>
    </row>
    <row r="43" spans="1:7" x14ac:dyDescent="0.25">
      <c r="A43" t="s">
        <v>1552</v>
      </c>
      <c r="B43" t="s">
        <v>1561</v>
      </c>
      <c r="C43" t="s">
        <v>1557</v>
      </c>
      <c r="D43" t="s">
        <v>1549</v>
      </c>
      <c r="E43">
        <v>1</v>
      </c>
      <c r="F43">
        <v>24563</v>
      </c>
      <c r="G43">
        <v>24563</v>
      </c>
    </row>
    <row r="44" spans="1:7" x14ac:dyDescent="0.25">
      <c r="A44" t="s">
        <v>1555</v>
      </c>
      <c r="B44" t="s">
        <v>1567</v>
      </c>
      <c r="C44" t="s">
        <v>1565</v>
      </c>
      <c r="D44" t="s">
        <v>1556</v>
      </c>
      <c r="E44">
        <v>8</v>
      </c>
      <c r="F44">
        <v>27042</v>
      </c>
      <c r="G44">
        <v>216336</v>
      </c>
    </row>
    <row r="45" spans="1:7" x14ac:dyDescent="0.25">
      <c r="A45" t="s">
        <v>1566</v>
      </c>
      <c r="B45" t="s">
        <v>1551</v>
      </c>
      <c r="C45" t="s">
        <v>1558</v>
      </c>
      <c r="D45" t="s">
        <v>1568</v>
      </c>
      <c r="E45">
        <v>8</v>
      </c>
      <c r="F45">
        <v>10795</v>
      </c>
      <c r="G45">
        <v>86360</v>
      </c>
    </row>
    <row r="46" spans="1:7" x14ac:dyDescent="0.25">
      <c r="A46" t="s">
        <v>1555</v>
      </c>
      <c r="B46" t="s">
        <v>1551</v>
      </c>
      <c r="C46" t="s">
        <v>1565</v>
      </c>
      <c r="D46" t="s">
        <v>1556</v>
      </c>
      <c r="E46">
        <v>3</v>
      </c>
      <c r="F46">
        <v>9577</v>
      </c>
      <c r="G46">
        <v>28731</v>
      </c>
    </row>
    <row r="47" spans="1:7" x14ac:dyDescent="0.25">
      <c r="A47" t="s">
        <v>1555</v>
      </c>
      <c r="B47" t="s">
        <v>1551</v>
      </c>
      <c r="C47" t="s">
        <v>1558</v>
      </c>
      <c r="D47" t="s">
        <v>1568</v>
      </c>
      <c r="E47">
        <v>1</v>
      </c>
      <c r="F47">
        <v>23294</v>
      </c>
      <c r="G47">
        <v>23294</v>
      </c>
    </row>
    <row r="48" spans="1:7" x14ac:dyDescent="0.25">
      <c r="A48" t="s">
        <v>1555</v>
      </c>
      <c r="B48" t="s">
        <v>1551</v>
      </c>
      <c r="C48" t="s">
        <v>1550</v>
      </c>
      <c r="D48" t="s">
        <v>1562</v>
      </c>
      <c r="E48">
        <v>9</v>
      </c>
      <c r="F48">
        <v>11922</v>
      </c>
      <c r="G48">
        <v>107298</v>
      </c>
    </row>
    <row r="49" spans="1:7" x14ac:dyDescent="0.25">
      <c r="A49" t="s">
        <v>1564</v>
      </c>
      <c r="B49" t="s">
        <v>1561</v>
      </c>
      <c r="C49" t="s">
        <v>1554</v>
      </c>
      <c r="D49" t="s">
        <v>1568</v>
      </c>
      <c r="E49">
        <v>3</v>
      </c>
      <c r="F49">
        <v>13397</v>
      </c>
      <c r="G49">
        <v>40191</v>
      </c>
    </row>
    <row r="50" spans="1:7" x14ac:dyDescent="0.25">
      <c r="A50" t="s">
        <v>1564</v>
      </c>
      <c r="B50" t="s">
        <v>1561</v>
      </c>
      <c r="C50" t="s">
        <v>1565</v>
      </c>
      <c r="D50" t="s">
        <v>1560</v>
      </c>
      <c r="E50">
        <v>3</v>
      </c>
      <c r="F50">
        <v>5598</v>
      </c>
      <c r="G50">
        <v>16794</v>
      </c>
    </row>
    <row r="51" spans="1:7" x14ac:dyDescent="0.25">
      <c r="A51" t="s">
        <v>1552</v>
      </c>
      <c r="B51" t="s">
        <v>1561</v>
      </c>
      <c r="C51" t="s">
        <v>1550</v>
      </c>
      <c r="D51" t="s">
        <v>1553</v>
      </c>
      <c r="E51">
        <v>7</v>
      </c>
      <c r="F51">
        <v>11877</v>
      </c>
      <c r="G51">
        <v>83139</v>
      </c>
    </row>
    <row r="52" spans="1:7" x14ac:dyDescent="0.25">
      <c r="A52" t="s">
        <v>1564</v>
      </c>
      <c r="B52" t="s">
        <v>1559</v>
      </c>
      <c r="C52" t="s">
        <v>1554</v>
      </c>
      <c r="D52" t="s">
        <v>1568</v>
      </c>
      <c r="E52">
        <v>3</v>
      </c>
      <c r="F52">
        <v>23732</v>
      </c>
      <c r="G52">
        <v>71196</v>
      </c>
    </row>
    <row r="53" spans="1:7" x14ac:dyDescent="0.25">
      <c r="A53" t="s">
        <v>1566</v>
      </c>
      <c r="B53" t="s">
        <v>1559</v>
      </c>
      <c r="C53" t="s">
        <v>1557</v>
      </c>
      <c r="D53" t="s">
        <v>1568</v>
      </c>
      <c r="E53">
        <v>6</v>
      </c>
      <c r="F53">
        <v>15750</v>
      </c>
      <c r="G53">
        <v>94500</v>
      </c>
    </row>
    <row r="54" spans="1:7" x14ac:dyDescent="0.25">
      <c r="A54" t="s">
        <v>1563</v>
      </c>
      <c r="B54" t="s">
        <v>1561</v>
      </c>
      <c r="C54" t="s">
        <v>1565</v>
      </c>
      <c r="D54" t="s">
        <v>1549</v>
      </c>
      <c r="E54">
        <v>4</v>
      </c>
      <c r="F54">
        <v>14818</v>
      </c>
      <c r="G54">
        <v>59272</v>
      </c>
    </row>
    <row r="55" spans="1:7" x14ac:dyDescent="0.25">
      <c r="A55" t="s">
        <v>1566</v>
      </c>
      <c r="B55" t="s">
        <v>1551</v>
      </c>
      <c r="C55" t="s">
        <v>1557</v>
      </c>
      <c r="D55" t="s">
        <v>1549</v>
      </c>
      <c r="E55">
        <v>9</v>
      </c>
      <c r="F55">
        <v>20366</v>
      </c>
      <c r="G55">
        <v>183294</v>
      </c>
    </row>
    <row r="56" spans="1:7" x14ac:dyDescent="0.25">
      <c r="A56" t="s">
        <v>1563</v>
      </c>
      <c r="B56" t="s">
        <v>1559</v>
      </c>
      <c r="C56" t="s">
        <v>1558</v>
      </c>
      <c r="D56" t="s">
        <v>1549</v>
      </c>
      <c r="E56">
        <v>5</v>
      </c>
      <c r="F56">
        <v>6977</v>
      </c>
      <c r="G56">
        <v>34885</v>
      </c>
    </row>
    <row r="57" spans="1:7" x14ac:dyDescent="0.25">
      <c r="A57" t="s">
        <v>1566</v>
      </c>
      <c r="B57" t="s">
        <v>1551</v>
      </c>
      <c r="C57" t="s">
        <v>1565</v>
      </c>
      <c r="D57" t="s">
        <v>1560</v>
      </c>
      <c r="E57">
        <v>6</v>
      </c>
      <c r="F57">
        <v>16291</v>
      </c>
      <c r="G57">
        <v>97746</v>
      </c>
    </row>
    <row r="58" spans="1:7" x14ac:dyDescent="0.25">
      <c r="A58" t="s">
        <v>1555</v>
      </c>
      <c r="B58" t="s">
        <v>1559</v>
      </c>
      <c r="C58" t="s">
        <v>1557</v>
      </c>
      <c r="D58" t="s">
        <v>1560</v>
      </c>
      <c r="E58">
        <v>6</v>
      </c>
      <c r="F58">
        <v>18077</v>
      </c>
      <c r="G58">
        <v>108462</v>
      </c>
    </row>
    <row r="59" spans="1:7" x14ac:dyDescent="0.25">
      <c r="A59" t="s">
        <v>1552</v>
      </c>
      <c r="B59" t="s">
        <v>1567</v>
      </c>
      <c r="C59" t="s">
        <v>1558</v>
      </c>
      <c r="D59" t="s">
        <v>1549</v>
      </c>
      <c r="E59">
        <v>5</v>
      </c>
      <c r="F59">
        <v>29614</v>
      </c>
      <c r="G59">
        <v>148070</v>
      </c>
    </row>
    <row r="60" spans="1:7" x14ac:dyDescent="0.25">
      <c r="A60" t="s">
        <v>1552</v>
      </c>
      <c r="B60" t="s">
        <v>1561</v>
      </c>
      <c r="C60" t="s">
        <v>1550</v>
      </c>
      <c r="D60" t="s">
        <v>1562</v>
      </c>
      <c r="E60">
        <v>7</v>
      </c>
      <c r="F60">
        <v>21191</v>
      </c>
      <c r="G60">
        <v>148337</v>
      </c>
    </row>
    <row r="61" spans="1:7" x14ac:dyDescent="0.25">
      <c r="A61" t="s">
        <v>1563</v>
      </c>
      <c r="B61" t="s">
        <v>1559</v>
      </c>
      <c r="C61" t="s">
        <v>1557</v>
      </c>
      <c r="D61" t="s">
        <v>1549</v>
      </c>
      <c r="E61">
        <v>8</v>
      </c>
      <c r="F61">
        <v>13599</v>
      </c>
      <c r="G61">
        <v>108792</v>
      </c>
    </row>
    <row r="62" spans="1:7" x14ac:dyDescent="0.25">
      <c r="A62" t="s">
        <v>1566</v>
      </c>
      <c r="B62" t="s">
        <v>1559</v>
      </c>
      <c r="C62" t="s">
        <v>1550</v>
      </c>
      <c r="D62" t="s">
        <v>1560</v>
      </c>
      <c r="E62">
        <v>7</v>
      </c>
      <c r="F62">
        <v>10925</v>
      </c>
      <c r="G62">
        <v>76475</v>
      </c>
    </row>
    <row r="63" spans="1:7" x14ac:dyDescent="0.25">
      <c r="A63" t="s">
        <v>1552</v>
      </c>
      <c r="B63" t="s">
        <v>1567</v>
      </c>
      <c r="C63" t="s">
        <v>1554</v>
      </c>
      <c r="D63" t="s">
        <v>1568</v>
      </c>
      <c r="E63">
        <v>2</v>
      </c>
      <c r="F63">
        <v>13078</v>
      </c>
      <c r="G63">
        <v>26156</v>
      </c>
    </row>
    <row r="64" spans="1:7" x14ac:dyDescent="0.25">
      <c r="A64" t="s">
        <v>1563</v>
      </c>
      <c r="B64" t="s">
        <v>1559</v>
      </c>
      <c r="C64" t="s">
        <v>1557</v>
      </c>
      <c r="D64" t="s">
        <v>1549</v>
      </c>
      <c r="E64">
        <v>10</v>
      </c>
      <c r="F64">
        <v>25964</v>
      </c>
      <c r="G64">
        <v>259640</v>
      </c>
    </row>
    <row r="65" spans="1:7" x14ac:dyDescent="0.25">
      <c r="A65" t="s">
        <v>1564</v>
      </c>
      <c r="B65" t="s">
        <v>1551</v>
      </c>
      <c r="C65" t="s">
        <v>1558</v>
      </c>
      <c r="D65" t="s">
        <v>1556</v>
      </c>
      <c r="E65">
        <v>9</v>
      </c>
      <c r="F65">
        <v>1640</v>
      </c>
      <c r="G65">
        <v>14760</v>
      </c>
    </row>
    <row r="66" spans="1:7" x14ac:dyDescent="0.25">
      <c r="A66" t="s">
        <v>1555</v>
      </c>
      <c r="B66" t="s">
        <v>1559</v>
      </c>
      <c r="C66" t="s">
        <v>1565</v>
      </c>
      <c r="D66" t="s">
        <v>1562</v>
      </c>
      <c r="E66">
        <v>10</v>
      </c>
      <c r="F66">
        <v>11922</v>
      </c>
      <c r="G66">
        <v>119220</v>
      </c>
    </row>
    <row r="67" spans="1:7" x14ac:dyDescent="0.25">
      <c r="A67" t="s">
        <v>1564</v>
      </c>
      <c r="B67" t="s">
        <v>1561</v>
      </c>
      <c r="C67" t="s">
        <v>1558</v>
      </c>
      <c r="D67" t="s">
        <v>1553</v>
      </c>
      <c r="E67">
        <v>3</v>
      </c>
      <c r="F67">
        <v>3415</v>
      </c>
      <c r="G67">
        <v>10245</v>
      </c>
    </row>
    <row r="68" spans="1:7" x14ac:dyDescent="0.25">
      <c r="A68" t="s">
        <v>1563</v>
      </c>
      <c r="B68" t="s">
        <v>1559</v>
      </c>
      <c r="C68" t="s">
        <v>1558</v>
      </c>
      <c r="D68" t="s">
        <v>1560</v>
      </c>
      <c r="E68">
        <v>2</v>
      </c>
      <c r="F68">
        <v>15687</v>
      </c>
      <c r="G68">
        <v>31374</v>
      </c>
    </row>
    <row r="69" spans="1:7" x14ac:dyDescent="0.25">
      <c r="A69" t="s">
        <v>1552</v>
      </c>
      <c r="B69" t="s">
        <v>1561</v>
      </c>
      <c r="C69" t="s">
        <v>1565</v>
      </c>
      <c r="D69" t="s">
        <v>1549</v>
      </c>
      <c r="E69">
        <v>7</v>
      </c>
      <c r="F69">
        <v>7546</v>
      </c>
      <c r="G69">
        <v>52822</v>
      </c>
    </row>
    <row r="70" spans="1:7" x14ac:dyDescent="0.25">
      <c r="A70" t="s">
        <v>1563</v>
      </c>
      <c r="B70" t="s">
        <v>1561</v>
      </c>
      <c r="C70" t="s">
        <v>1558</v>
      </c>
      <c r="D70" t="s">
        <v>1556</v>
      </c>
      <c r="E70">
        <v>4</v>
      </c>
      <c r="F70">
        <v>4127</v>
      </c>
      <c r="G70">
        <v>16508</v>
      </c>
    </row>
    <row r="71" spans="1:7" x14ac:dyDescent="0.25">
      <c r="A71" t="s">
        <v>1564</v>
      </c>
      <c r="B71" t="s">
        <v>1551</v>
      </c>
      <c r="C71" t="s">
        <v>1557</v>
      </c>
      <c r="D71" t="s">
        <v>1556</v>
      </c>
      <c r="E71">
        <v>9</v>
      </c>
      <c r="F71">
        <v>14789</v>
      </c>
      <c r="G71">
        <v>133101</v>
      </c>
    </row>
    <row r="72" spans="1:7" x14ac:dyDescent="0.25">
      <c r="A72" t="s">
        <v>1552</v>
      </c>
      <c r="B72" t="s">
        <v>1551</v>
      </c>
      <c r="C72" t="s">
        <v>1565</v>
      </c>
      <c r="D72" t="s">
        <v>1553</v>
      </c>
      <c r="E72">
        <v>4</v>
      </c>
      <c r="F72">
        <v>28810</v>
      </c>
      <c r="G72">
        <v>115240</v>
      </c>
    </row>
    <row r="73" spans="1:7" x14ac:dyDescent="0.25">
      <c r="A73" t="s">
        <v>1552</v>
      </c>
      <c r="B73" t="s">
        <v>1561</v>
      </c>
      <c r="C73" t="s">
        <v>1550</v>
      </c>
      <c r="D73" t="s">
        <v>1553</v>
      </c>
      <c r="E73">
        <v>10</v>
      </c>
      <c r="F73">
        <v>1857</v>
      </c>
      <c r="G73">
        <v>18570</v>
      </c>
    </row>
    <row r="74" spans="1:7" x14ac:dyDescent="0.25">
      <c r="A74" t="s">
        <v>1564</v>
      </c>
      <c r="B74" t="s">
        <v>1567</v>
      </c>
      <c r="C74" t="s">
        <v>1565</v>
      </c>
      <c r="D74" t="s">
        <v>1562</v>
      </c>
      <c r="E74">
        <v>1</v>
      </c>
      <c r="F74">
        <v>10544</v>
      </c>
      <c r="G74">
        <v>10544</v>
      </c>
    </row>
    <row r="75" spans="1:7" x14ac:dyDescent="0.25">
      <c r="A75" t="s">
        <v>1563</v>
      </c>
      <c r="B75" t="s">
        <v>1567</v>
      </c>
      <c r="C75" t="s">
        <v>1565</v>
      </c>
      <c r="D75" t="s">
        <v>1562</v>
      </c>
      <c r="E75">
        <v>10</v>
      </c>
      <c r="F75">
        <v>3039</v>
      </c>
      <c r="G75">
        <v>30390</v>
      </c>
    </row>
    <row r="76" spans="1:7" x14ac:dyDescent="0.25">
      <c r="A76" t="s">
        <v>1563</v>
      </c>
      <c r="B76" t="s">
        <v>1567</v>
      </c>
      <c r="C76" t="s">
        <v>1550</v>
      </c>
      <c r="D76" t="s">
        <v>1562</v>
      </c>
      <c r="E76">
        <v>1</v>
      </c>
      <c r="F76">
        <v>28892</v>
      </c>
      <c r="G76">
        <v>28892</v>
      </c>
    </row>
    <row r="77" spans="1:7" x14ac:dyDescent="0.25">
      <c r="A77" t="s">
        <v>1555</v>
      </c>
      <c r="B77" t="s">
        <v>1567</v>
      </c>
      <c r="C77" t="s">
        <v>1558</v>
      </c>
      <c r="D77" t="s">
        <v>1560</v>
      </c>
      <c r="E77">
        <v>4</v>
      </c>
      <c r="F77">
        <v>8511</v>
      </c>
      <c r="G77">
        <v>34044</v>
      </c>
    </row>
    <row r="78" spans="1:7" x14ac:dyDescent="0.25">
      <c r="A78" t="s">
        <v>1566</v>
      </c>
      <c r="B78" t="s">
        <v>1559</v>
      </c>
      <c r="C78" t="s">
        <v>1550</v>
      </c>
      <c r="D78" t="s">
        <v>1553</v>
      </c>
      <c r="E78">
        <v>7</v>
      </c>
      <c r="F78">
        <v>7830</v>
      </c>
      <c r="G78">
        <v>54810</v>
      </c>
    </row>
    <row r="79" spans="1:7" x14ac:dyDescent="0.25">
      <c r="A79" t="s">
        <v>1564</v>
      </c>
      <c r="B79" t="s">
        <v>1551</v>
      </c>
      <c r="C79" t="s">
        <v>1558</v>
      </c>
      <c r="D79" t="s">
        <v>1556</v>
      </c>
      <c r="E79">
        <v>9</v>
      </c>
      <c r="F79">
        <v>26619</v>
      </c>
      <c r="G79">
        <v>239571</v>
      </c>
    </row>
    <row r="80" spans="1:7" x14ac:dyDescent="0.25">
      <c r="A80" t="s">
        <v>1564</v>
      </c>
      <c r="B80" t="s">
        <v>1561</v>
      </c>
      <c r="C80" t="s">
        <v>1558</v>
      </c>
      <c r="D80" t="s">
        <v>1553</v>
      </c>
      <c r="E80">
        <v>5</v>
      </c>
      <c r="F80">
        <v>24282</v>
      </c>
      <c r="G80">
        <v>121410</v>
      </c>
    </row>
    <row r="81" spans="1:7" x14ac:dyDescent="0.25">
      <c r="A81" t="s">
        <v>1563</v>
      </c>
      <c r="B81" t="s">
        <v>1559</v>
      </c>
      <c r="C81" t="s">
        <v>1557</v>
      </c>
      <c r="D81" t="s">
        <v>1562</v>
      </c>
      <c r="E81">
        <v>7</v>
      </c>
      <c r="F81">
        <v>14023</v>
      </c>
      <c r="G81">
        <v>98161</v>
      </c>
    </row>
    <row r="82" spans="1:7" x14ac:dyDescent="0.25">
      <c r="A82" t="s">
        <v>1555</v>
      </c>
      <c r="B82" t="s">
        <v>1561</v>
      </c>
      <c r="C82" t="s">
        <v>1558</v>
      </c>
      <c r="D82" t="s">
        <v>1560</v>
      </c>
      <c r="E82">
        <v>3</v>
      </c>
      <c r="F82">
        <v>23766</v>
      </c>
      <c r="G82">
        <v>71298</v>
      </c>
    </row>
    <row r="83" spans="1:7" x14ac:dyDescent="0.25">
      <c r="A83" t="s">
        <v>1563</v>
      </c>
      <c r="B83" t="s">
        <v>1559</v>
      </c>
      <c r="C83" t="s">
        <v>1550</v>
      </c>
      <c r="D83" t="s">
        <v>1553</v>
      </c>
      <c r="E83">
        <v>10</v>
      </c>
      <c r="F83">
        <v>9038</v>
      </c>
      <c r="G83">
        <v>90380</v>
      </c>
    </row>
    <row r="84" spans="1:7" x14ac:dyDescent="0.25">
      <c r="A84" t="s">
        <v>1563</v>
      </c>
      <c r="B84" t="s">
        <v>1551</v>
      </c>
      <c r="C84" t="s">
        <v>1557</v>
      </c>
      <c r="D84" t="s">
        <v>1560</v>
      </c>
      <c r="E84">
        <v>1</v>
      </c>
      <c r="F84">
        <v>7291</v>
      </c>
      <c r="G84">
        <v>7291</v>
      </c>
    </row>
    <row r="85" spans="1:7" x14ac:dyDescent="0.25">
      <c r="A85" t="s">
        <v>1566</v>
      </c>
      <c r="B85" t="s">
        <v>1567</v>
      </c>
      <c r="C85" t="s">
        <v>1554</v>
      </c>
      <c r="D85" t="s">
        <v>1556</v>
      </c>
      <c r="E85">
        <v>9</v>
      </c>
      <c r="F85">
        <v>1087</v>
      </c>
      <c r="G85">
        <v>9783</v>
      </c>
    </row>
    <row r="86" spans="1:7" x14ac:dyDescent="0.25">
      <c r="A86" t="s">
        <v>1564</v>
      </c>
      <c r="B86" t="s">
        <v>1567</v>
      </c>
      <c r="C86" t="s">
        <v>1554</v>
      </c>
      <c r="D86" t="s">
        <v>1553</v>
      </c>
      <c r="E86">
        <v>9</v>
      </c>
      <c r="F86">
        <v>24198</v>
      </c>
      <c r="G86">
        <v>217782</v>
      </c>
    </row>
    <row r="87" spans="1:7" x14ac:dyDescent="0.25">
      <c r="A87" t="s">
        <v>1563</v>
      </c>
      <c r="B87" t="s">
        <v>1551</v>
      </c>
      <c r="C87" t="s">
        <v>1557</v>
      </c>
      <c r="D87" t="s">
        <v>1549</v>
      </c>
      <c r="E87">
        <v>3</v>
      </c>
      <c r="F87">
        <v>16981</v>
      </c>
      <c r="G87">
        <v>50943</v>
      </c>
    </row>
    <row r="88" spans="1:7" x14ac:dyDescent="0.25">
      <c r="A88" t="s">
        <v>1555</v>
      </c>
      <c r="B88" t="s">
        <v>1559</v>
      </c>
      <c r="C88" t="s">
        <v>1565</v>
      </c>
      <c r="D88" t="s">
        <v>1556</v>
      </c>
      <c r="E88">
        <v>8</v>
      </c>
      <c r="F88">
        <v>11258</v>
      </c>
      <c r="G88">
        <v>90064</v>
      </c>
    </row>
    <row r="89" spans="1:7" x14ac:dyDescent="0.25">
      <c r="A89" t="s">
        <v>1552</v>
      </c>
      <c r="B89" t="s">
        <v>1551</v>
      </c>
      <c r="C89" t="s">
        <v>1550</v>
      </c>
      <c r="D89" t="s">
        <v>1553</v>
      </c>
      <c r="E89">
        <v>6</v>
      </c>
      <c r="F89">
        <v>28979</v>
      </c>
      <c r="G89">
        <v>173874</v>
      </c>
    </row>
    <row r="90" spans="1:7" x14ac:dyDescent="0.25">
      <c r="A90" t="s">
        <v>1566</v>
      </c>
      <c r="B90" t="s">
        <v>1559</v>
      </c>
      <c r="C90" t="s">
        <v>1550</v>
      </c>
      <c r="D90" t="s">
        <v>1549</v>
      </c>
      <c r="E90">
        <v>7</v>
      </c>
      <c r="F90">
        <v>17371</v>
      </c>
      <c r="G90">
        <v>121597</v>
      </c>
    </row>
    <row r="91" spans="1:7" x14ac:dyDescent="0.25">
      <c r="A91" t="s">
        <v>1555</v>
      </c>
      <c r="B91" t="s">
        <v>1567</v>
      </c>
      <c r="C91" t="s">
        <v>1550</v>
      </c>
      <c r="D91" t="s">
        <v>1568</v>
      </c>
      <c r="E91">
        <v>4</v>
      </c>
      <c r="F91">
        <v>20318</v>
      </c>
      <c r="G91">
        <v>81272</v>
      </c>
    </row>
    <row r="92" spans="1:7" x14ac:dyDescent="0.25">
      <c r="A92" t="s">
        <v>1564</v>
      </c>
      <c r="B92" t="s">
        <v>1567</v>
      </c>
      <c r="C92" t="s">
        <v>1554</v>
      </c>
      <c r="D92" t="s">
        <v>1560</v>
      </c>
      <c r="E92">
        <v>8</v>
      </c>
      <c r="F92">
        <v>27080</v>
      </c>
      <c r="G92">
        <v>216640</v>
      </c>
    </row>
    <row r="93" spans="1:7" x14ac:dyDescent="0.25">
      <c r="A93" t="s">
        <v>1555</v>
      </c>
      <c r="B93" t="s">
        <v>1559</v>
      </c>
      <c r="C93" t="s">
        <v>1557</v>
      </c>
      <c r="D93" t="s">
        <v>1562</v>
      </c>
      <c r="E93">
        <v>2</v>
      </c>
      <c r="F93">
        <v>8285</v>
      </c>
      <c r="G93">
        <v>16570</v>
      </c>
    </row>
    <row r="94" spans="1:7" x14ac:dyDescent="0.25">
      <c r="A94" t="s">
        <v>1555</v>
      </c>
      <c r="B94" t="s">
        <v>1567</v>
      </c>
      <c r="C94" t="s">
        <v>1558</v>
      </c>
      <c r="D94" t="s">
        <v>1560</v>
      </c>
      <c r="E94">
        <v>2</v>
      </c>
      <c r="F94">
        <v>11636</v>
      </c>
      <c r="G94">
        <v>23272</v>
      </c>
    </row>
    <row r="95" spans="1:7" x14ac:dyDescent="0.25">
      <c r="A95" t="s">
        <v>1564</v>
      </c>
      <c r="B95" t="s">
        <v>1561</v>
      </c>
      <c r="C95" t="s">
        <v>1554</v>
      </c>
      <c r="D95" t="s">
        <v>1556</v>
      </c>
      <c r="E95">
        <v>9</v>
      </c>
      <c r="F95">
        <v>4688</v>
      </c>
      <c r="G95">
        <v>42192</v>
      </c>
    </row>
    <row r="96" spans="1:7" x14ac:dyDescent="0.25">
      <c r="A96" t="s">
        <v>1566</v>
      </c>
      <c r="B96" t="s">
        <v>1559</v>
      </c>
      <c r="C96" t="s">
        <v>1554</v>
      </c>
      <c r="D96" t="s">
        <v>1549</v>
      </c>
      <c r="E96">
        <v>2</v>
      </c>
      <c r="F96">
        <v>20837</v>
      </c>
      <c r="G96">
        <v>41674</v>
      </c>
    </row>
    <row r="97" spans="1:7" x14ac:dyDescent="0.25">
      <c r="A97" t="s">
        <v>1566</v>
      </c>
      <c r="B97" t="s">
        <v>1551</v>
      </c>
      <c r="C97" t="s">
        <v>1558</v>
      </c>
      <c r="D97" t="s">
        <v>1556</v>
      </c>
      <c r="E97">
        <v>7</v>
      </c>
      <c r="F97">
        <v>19748</v>
      </c>
      <c r="G97">
        <v>138236</v>
      </c>
    </row>
    <row r="98" spans="1:7" x14ac:dyDescent="0.25">
      <c r="A98" t="s">
        <v>1566</v>
      </c>
      <c r="B98" t="s">
        <v>1561</v>
      </c>
      <c r="C98" t="s">
        <v>1558</v>
      </c>
      <c r="D98" t="s">
        <v>1568</v>
      </c>
      <c r="E98">
        <v>7</v>
      </c>
      <c r="F98">
        <v>4398</v>
      </c>
      <c r="G98">
        <v>30786</v>
      </c>
    </row>
    <row r="99" spans="1:7" x14ac:dyDescent="0.25">
      <c r="A99" t="s">
        <v>1566</v>
      </c>
      <c r="B99" t="s">
        <v>1567</v>
      </c>
      <c r="C99" t="s">
        <v>1558</v>
      </c>
      <c r="D99" t="s">
        <v>1560</v>
      </c>
      <c r="E99">
        <v>4</v>
      </c>
      <c r="F99">
        <v>27401</v>
      </c>
      <c r="G99">
        <v>109604</v>
      </c>
    </row>
    <row r="100" spans="1:7" x14ac:dyDescent="0.25">
      <c r="A100" t="s">
        <v>1552</v>
      </c>
      <c r="B100" t="s">
        <v>1559</v>
      </c>
      <c r="C100" t="s">
        <v>1565</v>
      </c>
      <c r="D100" t="s">
        <v>1556</v>
      </c>
      <c r="E100">
        <v>1</v>
      </c>
      <c r="F100">
        <v>28700</v>
      </c>
      <c r="G100">
        <v>28700</v>
      </c>
    </row>
    <row r="101" spans="1:7" x14ac:dyDescent="0.25">
      <c r="A101" t="s">
        <v>1566</v>
      </c>
      <c r="B101" t="s">
        <v>1559</v>
      </c>
      <c r="C101" t="s">
        <v>1565</v>
      </c>
      <c r="D101" t="s">
        <v>1560</v>
      </c>
      <c r="E101">
        <v>4</v>
      </c>
      <c r="F101">
        <v>3102</v>
      </c>
      <c r="G101">
        <v>12408</v>
      </c>
    </row>
    <row r="102" spans="1:7" x14ac:dyDescent="0.25">
      <c r="A102" t="s">
        <v>1564</v>
      </c>
      <c r="B102" t="s">
        <v>1551</v>
      </c>
      <c r="C102" t="s">
        <v>1557</v>
      </c>
      <c r="D102" t="s">
        <v>1556</v>
      </c>
      <c r="E102">
        <v>7</v>
      </c>
      <c r="F102">
        <v>4560</v>
      </c>
      <c r="G102">
        <v>31920</v>
      </c>
    </row>
    <row r="103" spans="1:7" x14ac:dyDescent="0.25">
      <c r="A103" t="s">
        <v>1566</v>
      </c>
      <c r="B103" t="s">
        <v>1551</v>
      </c>
      <c r="C103" t="s">
        <v>1558</v>
      </c>
      <c r="D103" t="s">
        <v>1562</v>
      </c>
      <c r="E103">
        <v>10</v>
      </c>
      <c r="F103">
        <v>16834</v>
      </c>
      <c r="G103">
        <v>168340</v>
      </c>
    </row>
    <row r="104" spans="1:7" x14ac:dyDescent="0.25">
      <c r="A104" t="s">
        <v>1552</v>
      </c>
      <c r="B104" t="s">
        <v>1567</v>
      </c>
      <c r="C104" t="s">
        <v>1558</v>
      </c>
      <c r="D104" t="s">
        <v>1568</v>
      </c>
      <c r="E104">
        <v>8</v>
      </c>
      <c r="F104">
        <v>16844</v>
      </c>
      <c r="G104">
        <v>134752</v>
      </c>
    </row>
    <row r="105" spans="1:7" x14ac:dyDescent="0.25">
      <c r="A105" t="s">
        <v>1566</v>
      </c>
      <c r="B105" t="s">
        <v>1551</v>
      </c>
      <c r="C105" t="s">
        <v>1558</v>
      </c>
      <c r="D105" t="s">
        <v>1560</v>
      </c>
      <c r="E105">
        <v>6</v>
      </c>
      <c r="F105">
        <v>5610</v>
      </c>
      <c r="G105">
        <v>33660</v>
      </c>
    </row>
    <row r="106" spans="1:7" x14ac:dyDescent="0.25">
      <c r="A106" t="s">
        <v>1563</v>
      </c>
      <c r="B106" t="s">
        <v>1551</v>
      </c>
      <c r="C106" t="s">
        <v>1557</v>
      </c>
      <c r="D106" t="s">
        <v>1562</v>
      </c>
      <c r="E106">
        <v>3</v>
      </c>
      <c r="F106">
        <v>10258</v>
      </c>
      <c r="G106">
        <v>30774</v>
      </c>
    </row>
    <row r="107" spans="1:7" x14ac:dyDescent="0.25">
      <c r="A107" t="s">
        <v>1552</v>
      </c>
      <c r="B107" t="s">
        <v>1561</v>
      </c>
      <c r="C107" t="s">
        <v>1558</v>
      </c>
      <c r="D107" t="s">
        <v>1556</v>
      </c>
      <c r="E107">
        <v>8</v>
      </c>
      <c r="F107">
        <v>27712</v>
      </c>
      <c r="G107">
        <v>221696</v>
      </c>
    </row>
    <row r="108" spans="1:7" x14ac:dyDescent="0.25">
      <c r="A108" t="s">
        <v>1566</v>
      </c>
      <c r="B108" t="s">
        <v>1551</v>
      </c>
      <c r="C108" t="s">
        <v>1557</v>
      </c>
      <c r="D108" t="s">
        <v>1553</v>
      </c>
      <c r="E108">
        <v>9</v>
      </c>
      <c r="F108">
        <v>1195</v>
      </c>
      <c r="G108">
        <v>10755</v>
      </c>
    </row>
    <row r="109" spans="1:7" x14ac:dyDescent="0.25">
      <c r="A109" t="s">
        <v>1555</v>
      </c>
      <c r="B109" t="s">
        <v>1559</v>
      </c>
      <c r="C109" t="s">
        <v>1550</v>
      </c>
      <c r="D109" t="s">
        <v>1568</v>
      </c>
      <c r="E109">
        <v>9</v>
      </c>
      <c r="F109">
        <v>28321</v>
      </c>
      <c r="G109">
        <v>254889</v>
      </c>
    </row>
    <row r="110" spans="1:7" x14ac:dyDescent="0.25">
      <c r="A110" t="s">
        <v>1555</v>
      </c>
      <c r="B110" t="s">
        <v>1551</v>
      </c>
      <c r="C110" t="s">
        <v>1558</v>
      </c>
      <c r="D110" t="s">
        <v>1562</v>
      </c>
      <c r="E110">
        <v>4</v>
      </c>
      <c r="F110">
        <v>2950</v>
      </c>
      <c r="G110">
        <v>11800</v>
      </c>
    </row>
    <row r="111" spans="1:7" x14ac:dyDescent="0.25">
      <c r="A111" t="s">
        <v>1552</v>
      </c>
      <c r="B111" t="s">
        <v>1559</v>
      </c>
      <c r="C111" t="s">
        <v>1554</v>
      </c>
      <c r="D111" t="s">
        <v>1553</v>
      </c>
      <c r="E111">
        <v>9</v>
      </c>
      <c r="F111">
        <v>3622</v>
      </c>
      <c r="G111">
        <v>32598</v>
      </c>
    </row>
    <row r="112" spans="1:7" x14ac:dyDescent="0.25">
      <c r="A112" t="s">
        <v>1564</v>
      </c>
      <c r="B112" t="s">
        <v>1559</v>
      </c>
      <c r="C112" t="s">
        <v>1557</v>
      </c>
      <c r="D112" t="s">
        <v>1549</v>
      </c>
      <c r="E112">
        <v>4</v>
      </c>
      <c r="F112">
        <v>9706</v>
      </c>
      <c r="G112">
        <v>38824</v>
      </c>
    </row>
    <row r="113" spans="1:7" x14ac:dyDescent="0.25">
      <c r="A113" t="s">
        <v>1566</v>
      </c>
      <c r="B113" t="s">
        <v>1567</v>
      </c>
      <c r="C113" t="s">
        <v>1565</v>
      </c>
      <c r="D113" t="s">
        <v>1560</v>
      </c>
      <c r="E113">
        <v>6</v>
      </c>
      <c r="F113">
        <v>22759</v>
      </c>
      <c r="G113">
        <v>136554</v>
      </c>
    </row>
    <row r="114" spans="1:7" x14ac:dyDescent="0.25">
      <c r="A114" t="s">
        <v>1566</v>
      </c>
      <c r="B114" t="s">
        <v>1551</v>
      </c>
      <c r="C114" t="s">
        <v>1558</v>
      </c>
      <c r="D114" t="s">
        <v>1562</v>
      </c>
      <c r="E114">
        <v>7</v>
      </c>
      <c r="F114">
        <v>27672</v>
      </c>
      <c r="G114">
        <v>193704</v>
      </c>
    </row>
    <row r="115" spans="1:7" x14ac:dyDescent="0.25">
      <c r="A115" t="s">
        <v>1563</v>
      </c>
      <c r="B115" t="s">
        <v>1567</v>
      </c>
      <c r="C115" t="s">
        <v>1557</v>
      </c>
      <c r="D115" t="s">
        <v>1560</v>
      </c>
      <c r="E115">
        <v>10</v>
      </c>
      <c r="F115">
        <v>17466</v>
      </c>
      <c r="G115">
        <v>174660</v>
      </c>
    </row>
    <row r="116" spans="1:7" x14ac:dyDescent="0.25">
      <c r="A116" t="s">
        <v>1555</v>
      </c>
      <c r="B116" t="s">
        <v>1567</v>
      </c>
      <c r="C116" t="s">
        <v>1550</v>
      </c>
      <c r="D116" t="s">
        <v>1553</v>
      </c>
      <c r="E116">
        <v>8</v>
      </c>
      <c r="F116">
        <v>14662</v>
      </c>
      <c r="G116">
        <v>117296</v>
      </c>
    </row>
    <row r="117" spans="1:7" x14ac:dyDescent="0.25">
      <c r="A117" t="s">
        <v>1552</v>
      </c>
      <c r="B117" t="s">
        <v>1561</v>
      </c>
      <c r="C117" t="s">
        <v>1558</v>
      </c>
      <c r="D117" t="s">
        <v>1549</v>
      </c>
      <c r="E117">
        <v>2</v>
      </c>
      <c r="F117">
        <v>23697</v>
      </c>
      <c r="G117">
        <v>47394</v>
      </c>
    </row>
    <row r="118" spans="1:7" x14ac:dyDescent="0.25">
      <c r="A118" t="s">
        <v>1552</v>
      </c>
      <c r="B118" t="s">
        <v>1551</v>
      </c>
      <c r="C118" t="s">
        <v>1557</v>
      </c>
      <c r="D118" t="s">
        <v>1553</v>
      </c>
      <c r="E118">
        <v>1</v>
      </c>
      <c r="F118">
        <v>24154</v>
      </c>
      <c r="G118">
        <v>24154</v>
      </c>
    </row>
    <row r="119" spans="1:7" x14ac:dyDescent="0.25">
      <c r="A119" t="s">
        <v>1563</v>
      </c>
      <c r="B119" t="s">
        <v>1551</v>
      </c>
      <c r="C119" t="s">
        <v>1550</v>
      </c>
      <c r="D119" t="s">
        <v>1553</v>
      </c>
      <c r="E119">
        <v>4</v>
      </c>
      <c r="F119">
        <v>12880</v>
      </c>
      <c r="G119">
        <v>51520</v>
      </c>
    </row>
    <row r="120" spans="1:7" x14ac:dyDescent="0.25">
      <c r="A120" t="s">
        <v>1564</v>
      </c>
      <c r="B120" t="s">
        <v>1561</v>
      </c>
      <c r="C120" t="s">
        <v>1557</v>
      </c>
      <c r="D120" t="s">
        <v>1549</v>
      </c>
      <c r="E120">
        <v>10</v>
      </c>
      <c r="F120">
        <v>18674</v>
      </c>
      <c r="G120">
        <v>186740</v>
      </c>
    </row>
    <row r="121" spans="1:7" x14ac:dyDescent="0.25">
      <c r="A121" t="s">
        <v>1555</v>
      </c>
      <c r="B121" t="s">
        <v>1559</v>
      </c>
      <c r="C121" t="s">
        <v>1558</v>
      </c>
      <c r="D121" t="s">
        <v>1562</v>
      </c>
      <c r="E121">
        <v>2</v>
      </c>
      <c r="F121">
        <v>28592</v>
      </c>
      <c r="G121">
        <v>57184</v>
      </c>
    </row>
    <row r="122" spans="1:7" x14ac:dyDescent="0.25">
      <c r="A122" t="s">
        <v>1555</v>
      </c>
      <c r="B122" t="s">
        <v>1559</v>
      </c>
      <c r="C122" t="s">
        <v>1550</v>
      </c>
      <c r="D122" t="s">
        <v>1560</v>
      </c>
      <c r="E122">
        <v>4</v>
      </c>
      <c r="F122">
        <v>17660</v>
      </c>
      <c r="G122">
        <v>70640</v>
      </c>
    </row>
    <row r="123" spans="1:7" x14ac:dyDescent="0.25">
      <c r="A123" t="s">
        <v>1566</v>
      </c>
      <c r="B123" t="s">
        <v>1567</v>
      </c>
      <c r="C123" t="s">
        <v>1554</v>
      </c>
      <c r="D123" t="s">
        <v>1549</v>
      </c>
      <c r="E123">
        <v>6</v>
      </c>
      <c r="F123">
        <v>21179</v>
      </c>
      <c r="G123">
        <v>127074</v>
      </c>
    </row>
    <row r="124" spans="1:7" x14ac:dyDescent="0.25">
      <c r="A124" t="s">
        <v>1555</v>
      </c>
      <c r="B124" t="s">
        <v>1561</v>
      </c>
      <c r="C124" t="s">
        <v>1554</v>
      </c>
      <c r="D124" t="s">
        <v>1568</v>
      </c>
      <c r="E124">
        <v>6</v>
      </c>
      <c r="F124">
        <v>7322</v>
      </c>
      <c r="G124">
        <v>43932</v>
      </c>
    </row>
    <row r="125" spans="1:7" x14ac:dyDescent="0.25">
      <c r="A125" t="s">
        <v>1555</v>
      </c>
      <c r="B125" t="s">
        <v>1551</v>
      </c>
      <c r="C125" t="s">
        <v>1557</v>
      </c>
      <c r="D125" t="s">
        <v>1553</v>
      </c>
      <c r="E125">
        <v>2</v>
      </c>
      <c r="F125">
        <v>28781</v>
      </c>
      <c r="G125">
        <v>57562</v>
      </c>
    </row>
    <row r="126" spans="1:7" x14ac:dyDescent="0.25">
      <c r="A126" t="s">
        <v>1564</v>
      </c>
      <c r="B126" t="s">
        <v>1567</v>
      </c>
      <c r="C126" t="s">
        <v>1558</v>
      </c>
      <c r="D126" t="s">
        <v>1549</v>
      </c>
      <c r="E126">
        <v>4</v>
      </c>
      <c r="F126">
        <v>29107</v>
      </c>
      <c r="G126">
        <v>116428</v>
      </c>
    </row>
    <row r="127" spans="1:7" x14ac:dyDescent="0.25">
      <c r="A127" t="s">
        <v>1555</v>
      </c>
      <c r="B127" t="s">
        <v>1567</v>
      </c>
      <c r="C127" t="s">
        <v>1550</v>
      </c>
      <c r="D127" t="s">
        <v>1568</v>
      </c>
      <c r="E127">
        <v>1</v>
      </c>
      <c r="F127">
        <v>28975</v>
      </c>
      <c r="G127">
        <v>28975</v>
      </c>
    </row>
    <row r="128" spans="1:7" x14ac:dyDescent="0.25">
      <c r="A128" t="s">
        <v>1552</v>
      </c>
      <c r="B128" t="s">
        <v>1559</v>
      </c>
      <c r="C128" t="s">
        <v>1565</v>
      </c>
      <c r="D128" t="s">
        <v>1549</v>
      </c>
      <c r="E128">
        <v>8</v>
      </c>
      <c r="F128">
        <v>29632</v>
      </c>
      <c r="G128">
        <v>237056</v>
      </c>
    </row>
    <row r="129" spans="1:7" x14ac:dyDescent="0.25">
      <c r="A129" t="s">
        <v>1555</v>
      </c>
      <c r="B129" t="s">
        <v>1561</v>
      </c>
      <c r="C129" t="s">
        <v>1554</v>
      </c>
      <c r="D129" t="s">
        <v>1560</v>
      </c>
      <c r="E129">
        <v>6</v>
      </c>
      <c r="F129">
        <v>13356</v>
      </c>
      <c r="G129">
        <v>80136</v>
      </c>
    </row>
    <row r="130" spans="1:7" x14ac:dyDescent="0.25">
      <c r="A130" t="s">
        <v>1555</v>
      </c>
      <c r="B130" t="s">
        <v>1561</v>
      </c>
      <c r="C130" t="s">
        <v>1550</v>
      </c>
      <c r="D130" t="s">
        <v>1549</v>
      </c>
      <c r="E130">
        <v>8</v>
      </c>
      <c r="F130">
        <v>15805</v>
      </c>
      <c r="G130">
        <v>126440</v>
      </c>
    </row>
    <row r="131" spans="1:7" x14ac:dyDescent="0.25">
      <c r="A131" t="s">
        <v>1552</v>
      </c>
      <c r="B131" t="s">
        <v>1567</v>
      </c>
      <c r="C131" t="s">
        <v>1554</v>
      </c>
      <c r="D131" t="s">
        <v>1560</v>
      </c>
      <c r="E131">
        <v>3</v>
      </c>
      <c r="F131">
        <v>8315</v>
      </c>
      <c r="G131">
        <v>24945</v>
      </c>
    </row>
    <row r="132" spans="1:7" x14ac:dyDescent="0.25">
      <c r="A132" t="s">
        <v>1555</v>
      </c>
      <c r="B132" t="s">
        <v>1559</v>
      </c>
      <c r="C132" t="s">
        <v>1565</v>
      </c>
      <c r="D132" t="s">
        <v>1560</v>
      </c>
      <c r="E132">
        <v>3</v>
      </c>
      <c r="F132">
        <v>16859</v>
      </c>
      <c r="G132">
        <v>50577</v>
      </c>
    </row>
    <row r="133" spans="1:7" x14ac:dyDescent="0.25">
      <c r="A133" t="s">
        <v>1564</v>
      </c>
      <c r="B133" t="s">
        <v>1559</v>
      </c>
      <c r="C133" t="s">
        <v>1557</v>
      </c>
      <c r="D133" t="s">
        <v>1549</v>
      </c>
      <c r="E133">
        <v>2</v>
      </c>
      <c r="F133">
        <v>15287</v>
      </c>
      <c r="G133">
        <v>30574</v>
      </c>
    </row>
    <row r="134" spans="1:7" x14ac:dyDescent="0.25">
      <c r="A134" t="s">
        <v>1563</v>
      </c>
      <c r="B134" t="s">
        <v>1551</v>
      </c>
      <c r="C134" t="s">
        <v>1550</v>
      </c>
      <c r="D134" t="s">
        <v>1562</v>
      </c>
      <c r="E134">
        <v>1</v>
      </c>
      <c r="F134">
        <v>11679</v>
      </c>
      <c r="G134">
        <v>11679</v>
      </c>
    </row>
    <row r="135" spans="1:7" x14ac:dyDescent="0.25">
      <c r="A135" t="s">
        <v>1564</v>
      </c>
      <c r="B135" t="s">
        <v>1551</v>
      </c>
      <c r="C135" t="s">
        <v>1557</v>
      </c>
      <c r="D135" t="s">
        <v>1562</v>
      </c>
      <c r="E135">
        <v>2</v>
      </c>
      <c r="F135">
        <v>3089</v>
      </c>
      <c r="G135">
        <v>6178</v>
      </c>
    </row>
    <row r="136" spans="1:7" x14ac:dyDescent="0.25">
      <c r="A136" t="s">
        <v>1566</v>
      </c>
      <c r="B136" t="s">
        <v>1567</v>
      </c>
      <c r="C136" t="s">
        <v>1558</v>
      </c>
      <c r="D136" t="s">
        <v>1556</v>
      </c>
      <c r="E136">
        <v>4</v>
      </c>
      <c r="F136">
        <v>28578</v>
      </c>
      <c r="G136">
        <v>114312</v>
      </c>
    </row>
    <row r="137" spans="1:7" x14ac:dyDescent="0.25">
      <c r="A137" t="s">
        <v>1564</v>
      </c>
      <c r="B137" t="s">
        <v>1567</v>
      </c>
      <c r="C137" t="s">
        <v>1565</v>
      </c>
      <c r="D137" t="s">
        <v>1562</v>
      </c>
      <c r="E137">
        <v>4</v>
      </c>
      <c r="F137">
        <v>24935</v>
      </c>
      <c r="G137">
        <v>99740</v>
      </c>
    </row>
    <row r="138" spans="1:7" x14ac:dyDescent="0.25">
      <c r="A138" t="s">
        <v>1563</v>
      </c>
      <c r="B138" t="s">
        <v>1551</v>
      </c>
      <c r="C138" t="s">
        <v>1550</v>
      </c>
      <c r="D138" t="s">
        <v>1562</v>
      </c>
      <c r="E138">
        <v>3</v>
      </c>
      <c r="F138">
        <v>6556</v>
      </c>
      <c r="G138">
        <v>19668</v>
      </c>
    </row>
    <row r="139" spans="1:7" x14ac:dyDescent="0.25">
      <c r="A139" t="s">
        <v>1566</v>
      </c>
      <c r="B139" t="s">
        <v>1559</v>
      </c>
      <c r="C139" t="s">
        <v>1565</v>
      </c>
      <c r="D139" t="s">
        <v>1556</v>
      </c>
      <c r="E139">
        <v>6</v>
      </c>
      <c r="F139">
        <v>25210</v>
      </c>
      <c r="G139">
        <v>151260</v>
      </c>
    </row>
    <row r="140" spans="1:7" x14ac:dyDescent="0.25">
      <c r="A140" t="s">
        <v>1563</v>
      </c>
      <c r="B140" t="s">
        <v>1561</v>
      </c>
      <c r="C140" t="s">
        <v>1565</v>
      </c>
      <c r="D140" t="s">
        <v>1549</v>
      </c>
      <c r="E140">
        <v>10</v>
      </c>
      <c r="F140">
        <v>10076</v>
      </c>
      <c r="G140">
        <v>100760</v>
      </c>
    </row>
    <row r="141" spans="1:7" x14ac:dyDescent="0.25">
      <c r="A141" t="s">
        <v>1566</v>
      </c>
      <c r="B141" t="s">
        <v>1559</v>
      </c>
      <c r="C141" t="s">
        <v>1565</v>
      </c>
      <c r="D141" t="s">
        <v>1562</v>
      </c>
      <c r="E141">
        <v>8</v>
      </c>
      <c r="F141">
        <v>3644</v>
      </c>
      <c r="G141">
        <v>29152</v>
      </c>
    </row>
    <row r="142" spans="1:7" x14ac:dyDescent="0.25">
      <c r="A142" t="s">
        <v>1564</v>
      </c>
      <c r="B142" t="s">
        <v>1551</v>
      </c>
      <c r="C142" t="s">
        <v>1554</v>
      </c>
      <c r="D142" t="s">
        <v>1556</v>
      </c>
      <c r="E142">
        <v>5</v>
      </c>
      <c r="F142">
        <v>4894</v>
      </c>
      <c r="G142">
        <v>24470</v>
      </c>
    </row>
    <row r="143" spans="1:7" x14ac:dyDescent="0.25">
      <c r="A143" t="s">
        <v>1552</v>
      </c>
      <c r="B143" t="s">
        <v>1561</v>
      </c>
      <c r="C143" t="s">
        <v>1550</v>
      </c>
      <c r="D143" t="s">
        <v>1549</v>
      </c>
      <c r="E143">
        <v>2</v>
      </c>
      <c r="F143">
        <v>27957</v>
      </c>
      <c r="G143">
        <v>55914</v>
      </c>
    </row>
    <row r="144" spans="1:7" x14ac:dyDescent="0.25">
      <c r="A144" t="s">
        <v>1564</v>
      </c>
      <c r="B144" t="s">
        <v>1567</v>
      </c>
      <c r="C144" t="s">
        <v>1565</v>
      </c>
      <c r="D144" t="s">
        <v>1560</v>
      </c>
      <c r="E144">
        <v>9</v>
      </c>
      <c r="F144">
        <v>25949</v>
      </c>
      <c r="G144">
        <v>233541</v>
      </c>
    </row>
    <row r="145" spans="1:7" x14ac:dyDescent="0.25">
      <c r="A145" t="s">
        <v>1563</v>
      </c>
      <c r="B145" t="s">
        <v>1551</v>
      </c>
      <c r="C145" t="s">
        <v>1550</v>
      </c>
      <c r="D145" t="s">
        <v>1549</v>
      </c>
      <c r="E145">
        <v>1</v>
      </c>
      <c r="F145">
        <v>12594</v>
      </c>
      <c r="G145">
        <v>12594</v>
      </c>
    </row>
    <row r="146" spans="1:7" x14ac:dyDescent="0.25">
      <c r="A146" t="s">
        <v>1552</v>
      </c>
      <c r="B146" t="s">
        <v>1551</v>
      </c>
      <c r="C146" t="s">
        <v>1550</v>
      </c>
      <c r="D146" t="s">
        <v>1568</v>
      </c>
      <c r="E146">
        <v>6</v>
      </c>
      <c r="F146">
        <v>28271</v>
      </c>
      <c r="G146">
        <v>169626</v>
      </c>
    </row>
    <row r="147" spans="1:7" x14ac:dyDescent="0.25">
      <c r="A147" t="s">
        <v>1552</v>
      </c>
      <c r="B147" t="s">
        <v>1561</v>
      </c>
      <c r="C147" t="s">
        <v>1558</v>
      </c>
      <c r="D147" t="s">
        <v>1560</v>
      </c>
      <c r="E147">
        <v>8</v>
      </c>
      <c r="F147">
        <v>19852</v>
      </c>
      <c r="G147">
        <v>158816</v>
      </c>
    </row>
    <row r="148" spans="1:7" x14ac:dyDescent="0.25">
      <c r="A148" t="s">
        <v>1563</v>
      </c>
      <c r="B148" t="s">
        <v>1567</v>
      </c>
      <c r="C148" t="s">
        <v>1554</v>
      </c>
      <c r="D148" t="s">
        <v>1553</v>
      </c>
      <c r="E148">
        <v>3</v>
      </c>
      <c r="F148">
        <v>20742</v>
      </c>
      <c r="G148">
        <v>62226</v>
      </c>
    </row>
    <row r="149" spans="1:7" x14ac:dyDescent="0.25">
      <c r="A149" t="s">
        <v>1555</v>
      </c>
      <c r="B149" t="s">
        <v>1561</v>
      </c>
      <c r="C149" t="s">
        <v>1558</v>
      </c>
      <c r="D149" t="s">
        <v>1549</v>
      </c>
      <c r="E149">
        <v>7</v>
      </c>
      <c r="F149">
        <v>25165</v>
      </c>
      <c r="G149">
        <v>176155</v>
      </c>
    </row>
    <row r="150" spans="1:7" x14ac:dyDescent="0.25">
      <c r="A150" t="s">
        <v>1555</v>
      </c>
      <c r="B150" t="s">
        <v>1551</v>
      </c>
      <c r="C150" t="s">
        <v>1557</v>
      </c>
      <c r="D150" t="s">
        <v>1562</v>
      </c>
      <c r="E150">
        <v>1</v>
      </c>
      <c r="F150">
        <v>25782</v>
      </c>
      <c r="G150">
        <v>25782</v>
      </c>
    </row>
    <row r="151" spans="1:7" x14ac:dyDescent="0.25">
      <c r="A151" t="s">
        <v>1555</v>
      </c>
      <c r="B151" t="s">
        <v>1551</v>
      </c>
      <c r="C151" t="s">
        <v>1557</v>
      </c>
      <c r="D151" t="s">
        <v>1549</v>
      </c>
      <c r="E151">
        <v>9</v>
      </c>
      <c r="F151">
        <v>24531</v>
      </c>
      <c r="G151">
        <v>220779</v>
      </c>
    </row>
    <row r="152" spans="1:7" x14ac:dyDescent="0.25">
      <c r="A152" t="s">
        <v>1563</v>
      </c>
      <c r="B152" t="s">
        <v>1561</v>
      </c>
      <c r="C152" t="s">
        <v>1550</v>
      </c>
      <c r="D152" t="s">
        <v>1556</v>
      </c>
      <c r="E152">
        <v>9</v>
      </c>
      <c r="F152">
        <v>11428</v>
      </c>
      <c r="G152">
        <v>102852</v>
      </c>
    </row>
    <row r="153" spans="1:7" x14ac:dyDescent="0.25">
      <c r="A153" t="s">
        <v>1564</v>
      </c>
      <c r="B153" t="s">
        <v>1561</v>
      </c>
      <c r="C153" t="s">
        <v>1558</v>
      </c>
      <c r="D153" t="s">
        <v>1560</v>
      </c>
      <c r="E153">
        <v>2</v>
      </c>
      <c r="F153">
        <v>13594</v>
      </c>
      <c r="G153">
        <v>27188</v>
      </c>
    </row>
    <row r="154" spans="1:7" x14ac:dyDescent="0.25">
      <c r="A154" t="s">
        <v>1566</v>
      </c>
      <c r="B154" t="s">
        <v>1551</v>
      </c>
      <c r="C154" t="s">
        <v>1554</v>
      </c>
      <c r="D154" t="s">
        <v>1549</v>
      </c>
      <c r="E154">
        <v>5</v>
      </c>
      <c r="F154">
        <v>2715</v>
      </c>
      <c r="G154">
        <v>13575</v>
      </c>
    </row>
    <row r="155" spans="1:7" x14ac:dyDescent="0.25">
      <c r="A155" t="s">
        <v>1563</v>
      </c>
      <c r="B155" t="s">
        <v>1551</v>
      </c>
      <c r="C155" t="s">
        <v>1558</v>
      </c>
      <c r="D155" t="s">
        <v>1562</v>
      </c>
      <c r="E155">
        <v>4</v>
      </c>
      <c r="F155">
        <v>9548</v>
      </c>
      <c r="G155">
        <v>38192</v>
      </c>
    </row>
    <row r="156" spans="1:7" x14ac:dyDescent="0.25">
      <c r="A156" t="s">
        <v>1563</v>
      </c>
      <c r="B156" t="s">
        <v>1561</v>
      </c>
      <c r="C156" t="s">
        <v>1557</v>
      </c>
      <c r="D156" t="s">
        <v>1556</v>
      </c>
      <c r="E156">
        <v>6</v>
      </c>
      <c r="F156">
        <v>14241</v>
      </c>
      <c r="G156">
        <v>85446</v>
      </c>
    </row>
    <row r="157" spans="1:7" x14ac:dyDescent="0.25">
      <c r="A157" t="s">
        <v>1555</v>
      </c>
      <c r="B157" t="s">
        <v>1551</v>
      </c>
      <c r="C157" t="s">
        <v>1550</v>
      </c>
      <c r="D157" t="s">
        <v>1553</v>
      </c>
      <c r="E157">
        <v>4</v>
      </c>
      <c r="F157">
        <v>25466</v>
      </c>
      <c r="G157">
        <v>101864</v>
      </c>
    </row>
    <row r="158" spans="1:7" x14ac:dyDescent="0.25">
      <c r="A158" t="s">
        <v>1563</v>
      </c>
      <c r="B158" t="s">
        <v>1567</v>
      </c>
      <c r="C158" t="s">
        <v>1565</v>
      </c>
      <c r="D158" t="s">
        <v>1562</v>
      </c>
      <c r="E158">
        <v>1</v>
      </c>
      <c r="F158">
        <v>9071</v>
      </c>
      <c r="G158">
        <v>9071</v>
      </c>
    </row>
    <row r="159" spans="1:7" x14ac:dyDescent="0.25">
      <c r="A159" t="s">
        <v>1564</v>
      </c>
      <c r="B159" t="s">
        <v>1567</v>
      </c>
      <c r="C159" t="s">
        <v>1550</v>
      </c>
      <c r="D159" t="s">
        <v>1568</v>
      </c>
      <c r="E159">
        <v>7</v>
      </c>
      <c r="F159">
        <v>29107</v>
      </c>
      <c r="G159">
        <v>203749</v>
      </c>
    </row>
    <row r="160" spans="1:7" x14ac:dyDescent="0.25">
      <c r="A160" t="s">
        <v>1552</v>
      </c>
      <c r="B160" t="s">
        <v>1559</v>
      </c>
      <c r="C160" t="s">
        <v>1558</v>
      </c>
      <c r="D160" t="s">
        <v>1568</v>
      </c>
      <c r="E160">
        <v>2</v>
      </c>
      <c r="F160">
        <v>4416</v>
      </c>
      <c r="G160">
        <v>8832</v>
      </c>
    </row>
    <row r="161" spans="1:7" x14ac:dyDescent="0.25">
      <c r="A161" t="s">
        <v>1552</v>
      </c>
      <c r="B161" t="s">
        <v>1561</v>
      </c>
      <c r="C161" t="s">
        <v>1565</v>
      </c>
      <c r="D161" t="s">
        <v>1556</v>
      </c>
      <c r="E161">
        <v>6</v>
      </c>
      <c r="F161">
        <v>11062</v>
      </c>
      <c r="G161">
        <v>66372</v>
      </c>
    </row>
    <row r="162" spans="1:7" x14ac:dyDescent="0.25">
      <c r="A162" t="s">
        <v>1564</v>
      </c>
      <c r="B162" t="s">
        <v>1551</v>
      </c>
      <c r="C162" t="s">
        <v>1565</v>
      </c>
      <c r="D162" t="s">
        <v>1560</v>
      </c>
      <c r="E162">
        <v>8</v>
      </c>
      <c r="F162">
        <v>21026</v>
      </c>
      <c r="G162">
        <v>168208</v>
      </c>
    </row>
    <row r="163" spans="1:7" x14ac:dyDescent="0.25">
      <c r="A163" t="s">
        <v>1563</v>
      </c>
      <c r="B163" t="s">
        <v>1559</v>
      </c>
      <c r="C163" t="s">
        <v>1565</v>
      </c>
      <c r="D163" t="s">
        <v>1553</v>
      </c>
      <c r="E163">
        <v>6</v>
      </c>
      <c r="F163">
        <v>16388</v>
      </c>
      <c r="G163">
        <v>98328</v>
      </c>
    </row>
    <row r="164" spans="1:7" x14ac:dyDescent="0.25">
      <c r="A164" t="s">
        <v>1555</v>
      </c>
      <c r="B164" t="s">
        <v>1551</v>
      </c>
      <c r="C164" t="s">
        <v>1558</v>
      </c>
      <c r="D164" t="s">
        <v>1562</v>
      </c>
      <c r="E164">
        <v>2</v>
      </c>
      <c r="F164">
        <v>1463</v>
      </c>
      <c r="G164">
        <v>2926</v>
      </c>
    </row>
    <row r="165" spans="1:7" x14ac:dyDescent="0.25">
      <c r="A165" t="s">
        <v>1563</v>
      </c>
      <c r="B165" t="s">
        <v>1567</v>
      </c>
      <c r="C165" t="s">
        <v>1557</v>
      </c>
      <c r="D165" t="s">
        <v>1553</v>
      </c>
      <c r="E165">
        <v>3</v>
      </c>
      <c r="F165">
        <v>22769</v>
      </c>
      <c r="G165">
        <v>68307</v>
      </c>
    </row>
    <row r="166" spans="1:7" x14ac:dyDescent="0.25">
      <c r="A166" t="s">
        <v>1555</v>
      </c>
      <c r="B166" t="s">
        <v>1551</v>
      </c>
      <c r="C166" t="s">
        <v>1550</v>
      </c>
      <c r="D166" t="s">
        <v>1568</v>
      </c>
      <c r="E166">
        <v>10</v>
      </c>
      <c r="F166">
        <v>12804</v>
      </c>
      <c r="G166">
        <v>128040</v>
      </c>
    </row>
    <row r="167" spans="1:7" x14ac:dyDescent="0.25">
      <c r="A167" t="s">
        <v>1564</v>
      </c>
      <c r="B167" t="s">
        <v>1561</v>
      </c>
      <c r="C167" t="s">
        <v>1554</v>
      </c>
      <c r="D167" t="s">
        <v>1553</v>
      </c>
      <c r="E167">
        <v>7</v>
      </c>
      <c r="F167">
        <v>8340</v>
      </c>
      <c r="G167">
        <v>58380</v>
      </c>
    </row>
    <row r="168" spans="1:7" x14ac:dyDescent="0.25">
      <c r="A168" t="s">
        <v>1555</v>
      </c>
      <c r="B168" t="s">
        <v>1561</v>
      </c>
      <c r="C168" t="s">
        <v>1554</v>
      </c>
      <c r="D168" t="s">
        <v>1556</v>
      </c>
      <c r="E168">
        <v>3</v>
      </c>
      <c r="F168">
        <v>21487</v>
      </c>
      <c r="G168">
        <v>64461</v>
      </c>
    </row>
    <row r="169" spans="1:7" x14ac:dyDescent="0.25">
      <c r="A169" t="s">
        <v>1563</v>
      </c>
      <c r="B169" t="s">
        <v>1567</v>
      </c>
      <c r="C169" t="s">
        <v>1550</v>
      </c>
      <c r="D169" t="s">
        <v>1562</v>
      </c>
      <c r="E169">
        <v>7</v>
      </c>
      <c r="F169">
        <v>7278</v>
      </c>
      <c r="G169">
        <v>50946</v>
      </c>
    </row>
    <row r="170" spans="1:7" x14ac:dyDescent="0.25">
      <c r="A170" t="s">
        <v>1552</v>
      </c>
      <c r="B170" t="s">
        <v>1551</v>
      </c>
      <c r="C170" t="s">
        <v>1554</v>
      </c>
      <c r="D170" t="s">
        <v>1562</v>
      </c>
      <c r="E170">
        <v>2</v>
      </c>
      <c r="F170">
        <v>3709</v>
      </c>
      <c r="G170">
        <v>7418</v>
      </c>
    </row>
    <row r="171" spans="1:7" x14ac:dyDescent="0.25">
      <c r="A171" t="s">
        <v>1563</v>
      </c>
      <c r="B171" t="s">
        <v>1559</v>
      </c>
      <c r="C171" t="s">
        <v>1554</v>
      </c>
      <c r="D171" t="s">
        <v>1568</v>
      </c>
      <c r="E171">
        <v>8</v>
      </c>
      <c r="F171">
        <v>23046</v>
      </c>
      <c r="G171">
        <v>184368</v>
      </c>
    </row>
    <row r="172" spans="1:7" x14ac:dyDescent="0.25">
      <c r="A172" t="s">
        <v>1555</v>
      </c>
      <c r="B172" t="s">
        <v>1567</v>
      </c>
      <c r="C172" t="s">
        <v>1565</v>
      </c>
      <c r="D172" t="s">
        <v>1562</v>
      </c>
      <c r="E172">
        <v>4</v>
      </c>
      <c r="F172">
        <v>11864</v>
      </c>
      <c r="G172">
        <v>47456</v>
      </c>
    </row>
    <row r="173" spans="1:7" x14ac:dyDescent="0.25">
      <c r="A173" t="s">
        <v>1563</v>
      </c>
      <c r="B173" t="s">
        <v>1567</v>
      </c>
      <c r="C173" t="s">
        <v>1557</v>
      </c>
      <c r="D173" t="s">
        <v>1553</v>
      </c>
      <c r="E173">
        <v>7</v>
      </c>
      <c r="F173">
        <v>15241</v>
      </c>
      <c r="G173">
        <v>106687</v>
      </c>
    </row>
    <row r="174" spans="1:7" x14ac:dyDescent="0.25">
      <c r="A174" t="s">
        <v>1563</v>
      </c>
      <c r="B174" t="s">
        <v>1561</v>
      </c>
      <c r="C174" t="s">
        <v>1550</v>
      </c>
      <c r="D174" t="s">
        <v>1568</v>
      </c>
      <c r="E174">
        <v>7</v>
      </c>
      <c r="F174">
        <v>14428</v>
      </c>
      <c r="G174">
        <v>100996</v>
      </c>
    </row>
    <row r="175" spans="1:7" x14ac:dyDescent="0.25">
      <c r="A175" t="s">
        <v>1555</v>
      </c>
      <c r="B175" t="s">
        <v>1551</v>
      </c>
      <c r="C175" t="s">
        <v>1554</v>
      </c>
      <c r="D175" t="s">
        <v>1562</v>
      </c>
      <c r="E175">
        <v>10</v>
      </c>
      <c r="F175">
        <v>20923</v>
      </c>
      <c r="G175">
        <v>209230</v>
      </c>
    </row>
    <row r="176" spans="1:7" x14ac:dyDescent="0.25">
      <c r="A176" t="s">
        <v>1555</v>
      </c>
      <c r="B176" t="s">
        <v>1561</v>
      </c>
      <c r="C176" t="s">
        <v>1554</v>
      </c>
      <c r="D176" t="s">
        <v>1556</v>
      </c>
      <c r="E176">
        <v>10</v>
      </c>
      <c r="F176">
        <v>5041</v>
      </c>
      <c r="G176">
        <v>50410</v>
      </c>
    </row>
    <row r="177" spans="1:7" x14ac:dyDescent="0.25">
      <c r="A177" t="s">
        <v>1564</v>
      </c>
      <c r="B177" t="s">
        <v>1567</v>
      </c>
      <c r="C177" t="s">
        <v>1565</v>
      </c>
      <c r="D177" t="s">
        <v>1553</v>
      </c>
      <c r="E177">
        <v>10</v>
      </c>
      <c r="F177">
        <v>14634</v>
      </c>
      <c r="G177">
        <v>146340</v>
      </c>
    </row>
    <row r="178" spans="1:7" x14ac:dyDescent="0.25">
      <c r="A178" t="s">
        <v>1564</v>
      </c>
      <c r="B178" t="s">
        <v>1559</v>
      </c>
      <c r="C178" t="s">
        <v>1550</v>
      </c>
      <c r="D178" t="s">
        <v>1549</v>
      </c>
      <c r="E178">
        <v>9</v>
      </c>
      <c r="F178">
        <v>2161</v>
      </c>
      <c r="G178">
        <v>19449</v>
      </c>
    </row>
    <row r="179" spans="1:7" x14ac:dyDescent="0.25">
      <c r="A179" t="s">
        <v>1555</v>
      </c>
      <c r="B179" t="s">
        <v>1551</v>
      </c>
      <c r="C179" t="s">
        <v>1554</v>
      </c>
      <c r="D179" t="s">
        <v>1549</v>
      </c>
      <c r="E179">
        <v>10</v>
      </c>
      <c r="F179">
        <v>10931</v>
      </c>
      <c r="G179">
        <v>109310</v>
      </c>
    </row>
    <row r="180" spans="1:7" x14ac:dyDescent="0.25">
      <c r="A180" t="s">
        <v>1563</v>
      </c>
      <c r="B180" t="s">
        <v>1551</v>
      </c>
      <c r="C180" t="s">
        <v>1565</v>
      </c>
      <c r="D180" t="s">
        <v>1553</v>
      </c>
      <c r="E180">
        <v>8</v>
      </c>
      <c r="F180">
        <v>5964</v>
      </c>
      <c r="G180">
        <v>47712</v>
      </c>
    </row>
    <row r="181" spans="1:7" x14ac:dyDescent="0.25">
      <c r="A181" t="s">
        <v>1552</v>
      </c>
      <c r="B181" t="s">
        <v>1559</v>
      </c>
      <c r="C181" t="s">
        <v>1558</v>
      </c>
      <c r="D181" t="s">
        <v>1553</v>
      </c>
      <c r="E181">
        <v>1</v>
      </c>
      <c r="F181">
        <v>11854</v>
      </c>
      <c r="G181">
        <v>11854</v>
      </c>
    </row>
    <row r="182" spans="1:7" x14ac:dyDescent="0.25">
      <c r="A182" t="s">
        <v>1552</v>
      </c>
      <c r="B182" t="s">
        <v>1561</v>
      </c>
      <c r="C182" t="s">
        <v>1554</v>
      </c>
      <c r="D182" t="s">
        <v>1562</v>
      </c>
      <c r="E182">
        <v>2</v>
      </c>
      <c r="F182">
        <v>28164</v>
      </c>
      <c r="G182">
        <v>56328</v>
      </c>
    </row>
    <row r="183" spans="1:7" x14ac:dyDescent="0.25">
      <c r="A183" t="s">
        <v>1555</v>
      </c>
      <c r="B183" t="s">
        <v>1561</v>
      </c>
      <c r="C183" t="s">
        <v>1550</v>
      </c>
      <c r="D183" t="s">
        <v>1549</v>
      </c>
      <c r="E183">
        <v>4</v>
      </c>
      <c r="F183">
        <v>9506</v>
      </c>
      <c r="G183">
        <v>38024</v>
      </c>
    </row>
    <row r="184" spans="1:7" x14ac:dyDescent="0.25">
      <c r="A184" t="s">
        <v>1563</v>
      </c>
      <c r="B184" t="s">
        <v>1559</v>
      </c>
      <c r="C184" t="s">
        <v>1565</v>
      </c>
      <c r="D184" t="s">
        <v>1553</v>
      </c>
      <c r="E184">
        <v>6</v>
      </c>
      <c r="F184">
        <v>20609</v>
      </c>
      <c r="G184">
        <v>123654</v>
      </c>
    </row>
    <row r="185" spans="1:7" x14ac:dyDescent="0.25">
      <c r="A185" t="s">
        <v>1566</v>
      </c>
      <c r="B185" t="s">
        <v>1567</v>
      </c>
      <c r="C185" t="s">
        <v>1554</v>
      </c>
      <c r="D185" t="s">
        <v>1553</v>
      </c>
      <c r="E185">
        <v>5</v>
      </c>
      <c r="F185">
        <v>21018</v>
      </c>
      <c r="G185">
        <v>105090</v>
      </c>
    </row>
    <row r="186" spans="1:7" x14ac:dyDescent="0.25">
      <c r="A186" t="s">
        <v>1566</v>
      </c>
      <c r="B186" t="s">
        <v>1561</v>
      </c>
      <c r="C186" t="s">
        <v>1557</v>
      </c>
      <c r="D186" t="s">
        <v>1556</v>
      </c>
      <c r="E186">
        <v>5</v>
      </c>
      <c r="F186">
        <v>16527</v>
      </c>
      <c r="G186">
        <v>82635</v>
      </c>
    </row>
    <row r="187" spans="1:7" x14ac:dyDescent="0.25">
      <c r="A187" t="s">
        <v>1555</v>
      </c>
      <c r="B187" t="s">
        <v>1559</v>
      </c>
      <c r="C187" t="s">
        <v>1565</v>
      </c>
      <c r="D187" t="s">
        <v>1562</v>
      </c>
      <c r="E187">
        <v>5</v>
      </c>
      <c r="F187">
        <v>12438</v>
      </c>
      <c r="G187">
        <v>62190</v>
      </c>
    </row>
    <row r="188" spans="1:7" x14ac:dyDescent="0.25">
      <c r="A188" t="s">
        <v>1564</v>
      </c>
      <c r="B188" t="s">
        <v>1561</v>
      </c>
      <c r="C188" t="s">
        <v>1558</v>
      </c>
      <c r="D188" t="s">
        <v>1549</v>
      </c>
      <c r="E188">
        <v>2</v>
      </c>
      <c r="F188">
        <v>10562</v>
      </c>
      <c r="G188">
        <v>21124</v>
      </c>
    </row>
    <row r="189" spans="1:7" x14ac:dyDescent="0.25">
      <c r="A189" t="s">
        <v>1555</v>
      </c>
      <c r="B189" t="s">
        <v>1567</v>
      </c>
      <c r="C189" t="s">
        <v>1554</v>
      </c>
      <c r="D189" t="s">
        <v>1562</v>
      </c>
      <c r="E189">
        <v>7</v>
      </c>
      <c r="F189">
        <v>23949</v>
      </c>
      <c r="G189">
        <v>167643</v>
      </c>
    </row>
    <row r="190" spans="1:7" x14ac:dyDescent="0.25">
      <c r="A190" t="s">
        <v>1566</v>
      </c>
      <c r="B190" t="s">
        <v>1567</v>
      </c>
      <c r="C190" t="s">
        <v>1565</v>
      </c>
      <c r="D190" t="s">
        <v>1556</v>
      </c>
      <c r="E190">
        <v>2</v>
      </c>
      <c r="F190">
        <v>7057</v>
      </c>
      <c r="G190">
        <v>14114</v>
      </c>
    </row>
    <row r="191" spans="1:7" x14ac:dyDescent="0.25">
      <c r="A191" t="s">
        <v>1563</v>
      </c>
      <c r="B191" t="s">
        <v>1551</v>
      </c>
      <c r="C191" t="s">
        <v>1557</v>
      </c>
      <c r="D191" t="s">
        <v>1562</v>
      </c>
      <c r="E191">
        <v>9</v>
      </c>
      <c r="F191">
        <v>12382</v>
      </c>
      <c r="G191">
        <v>111438</v>
      </c>
    </row>
    <row r="192" spans="1:7" x14ac:dyDescent="0.25">
      <c r="A192" t="s">
        <v>1552</v>
      </c>
      <c r="B192" t="s">
        <v>1561</v>
      </c>
      <c r="C192" t="s">
        <v>1565</v>
      </c>
      <c r="D192" t="s">
        <v>1560</v>
      </c>
      <c r="E192">
        <v>1</v>
      </c>
      <c r="F192">
        <v>17650</v>
      </c>
      <c r="G192">
        <v>17650</v>
      </c>
    </row>
    <row r="193" spans="1:7" x14ac:dyDescent="0.25">
      <c r="A193" t="s">
        <v>1555</v>
      </c>
      <c r="B193" t="s">
        <v>1567</v>
      </c>
      <c r="C193" t="s">
        <v>1554</v>
      </c>
      <c r="D193" t="s">
        <v>1553</v>
      </c>
      <c r="E193">
        <v>9</v>
      </c>
      <c r="F193">
        <v>17022</v>
      </c>
      <c r="G193">
        <v>153198</v>
      </c>
    </row>
    <row r="194" spans="1:7" x14ac:dyDescent="0.25">
      <c r="A194" t="s">
        <v>1564</v>
      </c>
      <c r="B194" t="s">
        <v>1561</v>
      </c>
      <c r="C194" t="s">
        <v>1558</v>
      </c>
      <c r="D194" t="s">
        <v>1568</v>
      </c>
      <c r="E194">
        <v>5</v>
      </c>
      <c r="F194">
        <v>23642</v>
      </c>
      <c r="G194">
        <v>118210</v>
      </c>
    </row>
    <row r="195" spans="1:7" x14ac:dyDescent="0.25">
      <c r="A195" t="s">
        <v>1563</v>
      </c>
      <c r="B195" t="s">
        <v>1567</v>
      </c>
      <c r="C195" t="s">
        <v>1557</v>
      </c>
      <c r="D195" t="s">
        <v>1556</v>
      </c>
      <c r="E195">
        <v>6</v>
      </c>
      <c r="F195">
        <v>11825</v>
      </c>
      <c r="G195">
        <v>70950</v>
      </c>
    </row>
    <row r="196" spans="1:7" x14ac:dyDescent="0.25">
      <c r="A196" t="s">
        <v>1564</v>
      </c>
      <c r="B196" t="s">
        <v>1561</v>
      </c>
      <c r="C196" t="s">
        <v>1565</v>
      </c>
      <c r="D196" t="s">
        <v>1562</v>
      </c>
      <c r="E196">
        <v>1</v>
      </c>
      <c r="F196">
        <v>14989</v>
      </c>
      <c r="G196">
        <v>14989</v>
      </c>
    </row>
    <row r="197" spans="1:7" x14ac:dyDescent="0.25">
      <c r="A197" t="s">
        <v>1552</v>
      </c>
      <c r="B197" t="s">
        <v>1559</v>
      </c>
      <c r="C197" t="s">
        <v>1550</v>
      </c>
      <c r="D197" t="s">
        <v>1560</v>
      </c>
      <c r="E197">
        <v>3</v>
      </c>
      <c r="F197">
        <v>18643</v>
      </c>
      <c r="G197">
        <v>55929</v>
      </c>
    </row>
    <row r="198" spans="1:7" x14ac:dyDescent="0.25">
      <c r="A198" t="s">
        <v>1564</v>
      </c>
      <c r="B198" t="s">
        <v>1567</v>
      </c>
      <c r="C198" t="s">
        <v>1565</v>
      </c>
      <c r="D198" t="s">
        <v>1553</v>
      </c>
      <c r="E198">
        <v>1</v>
      </c>
      <c r="F198">
        <v>14377</v>
      </c>
      <c r="G198">
        <v>14377</v>
      </c>
    </row>
    <row r="199" spans="1:7" x14ac:dyDescent="0.25">
      <c r="A199" t="s">
        <v>1563</v>
      </c>
      <c r="B199" t="s">
        <v>1561</v>
      </c>
      <c r="C199" t="s">
        <v>1550</v>
      </c>
      <c r="D199" t="s">
        <v>1553</v>
      </c>
      <c r="E199">
        <v>1</v>
      </c>
      <c r="F199">
        <v>5155</v>
      </c>
      <c r="G199">
        <v>5155</v>
      </c>
    </row>
    <row r="200" spans="1:7" x14ac:dyDescent="0.25">
      <c r="A200" t="s">
        <v>1552</v>
      </c>
      <c r="B200" t="s">
        <v>1551</v>
      </c>
      <c r="C200" t="s">
        <v>1550</v>
      </c>
      <c r="D200" t="s">
        <v>1568</v>
      </c>
      <c r="E200">
        <v>2</v>
      </c>
      <c r="F200">
        <v>19727</v>
      </c>
      <c r="G200">
        <v>39454</v>
      </c>
    </row>
    <row r="201" spans="1:7" x14ac:dyDescent="0.25">
      <c r="A201" t="s">
        <v>1563</v>
      </c>
      <c r="B201" t="s">
        <v>1551</v>
      </c>
      <c r="C201" t="s">
        <v>1554</v>
      </c>
      <c r="D201" t="s">
        <v>1568</v>
      </c>
      <c r="E201">
        <v>7</v>
      </c>
      <c r="F201">
        <v>25704</v>
      </c>
      <c r="G201">
        <v>179928</v>
      </c>
    </row>
    <row r="202" spans="1:7" x14ac:dyDescent="0.25">
      <c r="A202" t="s">
        <v>1555</v>
      </c>
      <c r="B202" t="s">
        <v>1551</v>
      </c>
      <c r="C202" t="s">
        <v>1550</v>
      </c>
      <c r="D202" t="s">
        <v>1549</v>
      </c>
      <c r="E202">
        <v>1</v>
      </c>
      <c r="F202">
        <v>23605</v>
      </c>
      <c r="G202">
        <v>23605</v>
      </c>
    </row>
    <row r="203" spans="1:7" x14ac:dyDescent="0.25">
      <c r="A203" t="s">
        <v>1564</v>
      </c>
      <c r="B203" t="s">
        <v>1561</v>
      </c>
      <c r="C203" t="s">
        <v>1557</v>
      </c>
      <c r="D203" t="s">
        <v>1562</v>
      </c>
      <c r="E203">
        <v>5</v>
      </c>
      <c r="F203">
        <v>27924</v>
      </c>
      <c r="G203">
        <v>139620</v>
      </c>
    </row>
    <row r="204" spans="1:7" x14ac:dyDescent="0.25">
      <c r="A204" t="s">
        <v>1555</v>
      </c>
      <c r="B204" t="s">
        <v>1567</v>
      </c>
      <c r="C204" t="s">
        <v>1565</v>
      </c>
      <c r="D204" t="s">
        <v>1560</v>
      </c>
      <c r="E204">
        <v>5</v>
      </c>
      <c r="F204">
        <v>11494</v>
      </c>
      <c r="G204">
        <v>57470</v>
      </c>
    </row>
    <row r="205" spans="1:7" x14ac:dyDescent="0.25">
      <c r="A205" t="s">
        <v>1563</v>
      </c>
      <c r="B205" t="s">
        <v>1561</v>
      </c>
      <c r="C205" t="s">
        <v>1550</v>
      </c>
      <c r="D205" t="s">
        <v>1568</v>
      </c>
      <c r="E205">
        <v>7</v>
      </c>
      <c r="F205">
        <v>9174</v>
      </c>
      <c r="G205">
        <v>64218</v>
      </c>
    </row>
    <row r="206" spans="1:7" x14ac:dyDescent="0.25">
      <c r="A206" t="s">
        <v>1564</v>
      </c>
      <c r="B206" t="s">
        <v>1559</v>
      </c>
      <c r="C206" t="s">
        <v>1558</v>
      </c>
      <c r="D206" t="s">
        <v>1553</v>
      </c>
      <c r="E206">
        <v>9</v>
      </c>
      <c r="F206">
        <v>27975</v>
      </c>
      <c r="G206">
        <v>251775</v>
      </c>
    </row>
    <row r="207" spans="1:7" x14ac:dyDescent="0.25">
      <c r="A207" t="s">
        <v>1552</v>
      </c>
      <c r="B207" t="s">
        <v>1559</v>
      </c>
      <c r="C207" t="s">
        <v>1557</v>
      </c>
      <c r="D207" t="s">
        <v>1553</v>
      </c>
      <c r="E207">
        <v>5</v>
      </c>
      <c r="F207">
        <v>25030</v>
      </c>
      <c r="G207">
        <v>125150</v>
      </c>
    </row>
    <row r="208" spans="1:7" x14ac:dyDescent="0.25">
      <c r="A208" t="s">
        <v>1566</v>
      </c>
      <c r="B208" t="s">
        <v>1559</v>
      </c>
      <c r="C208" t="s">
        <v>1554</v>
      </c>
      <c r="D208" t="s">
        <v>1553</v>
      </c>
      <c r="E208">
        <v>8</v>
      </c>
      <c r="F208">
        <v>18073</v>
      </c>
      <c r="G208">
        <v>144584</v>
      </c>
    </row>
    <row r="209" spans="1:7" x14ac:dyDescent="0.25">
      <c r="A209" t="s">
        <v>1555</v>
      </c>
      <c r="B209" t="s">
        <v>1561</v>
      </c>
      <c r="C209" t="s">
        <v>1550</v>
      </c>
      <c r="D209" t="s">
        <v>1556</v>
      </c>
      <c r="E209">
        <v>2</v>
      </c>
      <c r="F209">
        <v>29086</v>
      </c>
      <c r="G209">
        <v>58172</v>
      </c>
    </row>
    <row r="210" spans="1:7" x14ac:dyDescent="0.25">
      <c r="A210" t="s">
        <v>1566</v>
      </c>
      <c r="B210" t="s">
        <v>1561</v>
      </c>
      <c r="C210" t="s">
        <v>1550</v>
      </c>
      <c r="D210" t="s">
        <v>1568</v>
      </c>
      <c r="E210">
        <v>10</v>
      </c>
      <c r="F210">
        <v>6783</v>
      </c>
      <c r="G210">
        <v>67830</v>
      </c>
    </row>
    <row r="211" spans="1:7" x14ac:dyDescent="0.25">
      <c r="A211" t="s">
        <v>1552</v>
      </c>
      <c r="B211" t="s">
        <v>1551</v>
      </c>
      <c r="C211" t="s">
        <v>1550</v>
      </c>
      <c r="D211" t="s">
        <v>1562</v>
      </c>
      <c r="E211">
        <v>8</v>
      </c>
      <c r="F211">
        <v>1345</v>
      </c>
      <c r="G211">
        <v>10760</v>
      </c>
    </row>
    <row r="212" spans="1:7" x14ac:dyDescent="0.25">
      <c r="A212" t="s">
        <v>1555</v>
      </c>
      <c r="B212" t="s">
        <v>1551</v>
      </c>
      <c r="C212" t="s">
        <v>1557</v>
      </c>
      <c r="D212" t="s">
        <v>1562</v>
      </c>
      <c r="E212">
        <v>2</v>
      </c>
      <c r="F212">
        <v>27383</v>
      </c>
      <c r="G212">
        <v>54766</v>
      </c>
    </row>
    <row r="213" spans="1:7" x14ac:dyDescent="0.25">
      <c r="A213" t="s">
        <v>1564</v>
      </c>
      <c r="B213" t="s">
        <v>1551</v>
      </c>
      <c r="C213" t="s">
        <v>1565</v>
      </c>
      <c r="D213" t="s">
        <v>1562</v>
      </c>
      <c r="E213">
        <v>1</v>
      </c>
      <c r="F213">
        <v>16579</v>
      </c>
      <c r="G213">
        <v>16579</v>
      </c>
    </row>
    <row r="214" spans="1:7" x14ac:dyDescent="0.25">
      <c r="A214" t="s">
        <v>1555</v>
      </c>
      <c r="B214" t="s">
        <v>1567</v>
      </c>
      <c r="C214" t="s">
        <v>1558</v>
      </c>
      <c r="D214" t="s">
        <v>1549</v>
      </c>
      <c r="E214">
        <v>10</v>
      </c>
      <c r="F214">
        <v>18260</v>
      </c>
      <c r="G214">
        <v>182600</v>
      </c>
    </row>
    <row r="215" spans="1:7" x14ac:dyDescent="0.25">
      <c r="A215" t="s">
        <v>1552</v>
      </c>
      <c r="B215" t="s">
        <v>1551</v>
      </c>
      <c r="C215" t="s">
        <v>1554</v>
      </c>
      <c r="D215" t="s">
        <v>1568</v>
      </c>
      <c r="E215">
        <v>1</v>
      </c>
      <c r="F215">
        <v>22002</v>
      </c>
      <c r="G215">
        <v>22002</v>
      </c>
    </row>
    <row r="216" spans="1:7" x14ac:dyDescent="0.25">
      <c r="A216" t="s">
        <v>1563</v>
      </c>
      <c r="B216" t="s">
        <v>1567</v>
      </c>
      <c r="C216" t="s">
        <v>1554</v>
      </c>
      <c r="D216" t="s">
        <v>1553</v>
      </c>
      <c r="E216">
        <v>5</v>
      </c>
      <c r="F216">
        <v>13533</v>
      </c>
      <c r="G216">
        <v>67665</v>
      </c>
    </row>
    <row r="217" spans="1:7" x14ac:dyDescent="0.25">
      <c r="A217" t="s">
        <v>1555</v>
      </c>
      <c r="B217" t="s">
        <v>1567</v>
      </c>
      <c r="C217" t="s">
        <v>1550</v>
      </c>
      <c r="D217" t="s">
        <v>1553</v>
      </c>
      <c r="E217">
        <v>1</v>
      </c>
      <c r="F217">
        <v>14578</v>
      </c>
      <c r="G217">
        <v>14578</v>
      </c>
    </row>
    <row r="218" spans="1:7" x14ac:dyDescent="0.25">
      <c r="A218" t="s">
        <v>1563</v>
      </c>
      <c r="B218" t="s">
        <v>1567</v>
      </c>
      <c r="C218" t="s">
        <v>1557</v>
      </c>
      <c r="D218" t="s">
        <v>1560</v>
      </c>
      <c r="E218">
        <v>5</v>
      </c>
      <c r="F218">
        <v>19785</v>
      </c>
      <c r="G218">
        <v>98925</v>
      </c>
    </row>
    <row r="219" spans="1:7" x14ac:dyDescent="0.25">
      <c r="A219" t="s">
        <v>1555</v>
      </c>
      <c r="B219" t="s">
        <v>1567</v>
      </c>
      <c r="C219" t="s">
        <v>1557</v>
      </c>
      <c r="D219" t="s">
        <v>1553</v>
      </c>
      <c r="E219">
        <v>2</v>
      </c>
      <c r="F219">
        <v>13302</v>
      </c>
      <c r="G219">
        <v>26604</v>
      </c>
    </row>
    <row r="220" spans="1:7" x14ac:dyDescent="0.25">
      <c r="A220" t="s">
        <v>1555</v>
      </c>
      <c r="B220" t="s">
        <v>1559</v>
      </c>
      <c r="C220" t="s">
        <v>1565</v>
      </c>
      <c r="D220" t="s">
        <v>1556</v>
      </c>
      <c r="E220">
        <v>2</v>
      </c>
      <c r="F220">
        <v>15541</v>
      </c>
      <c r="G220">
        <v>31082</v>
      </c>
    </row>
    <row r="221" spans="1:7" x14ac:dyDescent="0.25">
      <c r="A221" t="s">
        <v>1563</v>
      </c>
      <c r="B221" t="s">
        <v>1567</v>
      </c>
      <c r="C221" t="s">
        <v>1557</v>
      </c>
      <c r="D221" t="s">
        <v>1553</v>
      </c>
      <c r="E221">
        <v>8</v>
      </c>
      <c r="F221">
        <v>28206</v>
      </c>
      <c r="G221">
        <v>225648</v>
      </c>
    </row>
    <row r="222" spans="1:7" x14ac:dyDescent="0.25">
      <c r="A222" t="s">
        <v>1552</v>
      </c>
      <c r="B222" t="s">
        <v>1551</v>
      </c>
      <c r="C222" t="s">
        <v>1554</v>
      </c>
      <c r="D222" t="s">
        <v>1568</v>
      </c>
      <c r="E222">
        <v>1</v>
      </c>
      <c r="F222">
        <v>22584</v>
      </c>
      <c r="G222">
        <v>22584</v>
      </c>
    </row>
    <row r="223" spans="1:7" x14ac:dyDescent="0.25">
      <c r="A223" t="s">
        <v>1564</v>
      </c>
      <c r="B223" t="s">
        <v>1559</v>
      </c>
      <c r="C223" t="s">
        <v>1550</v>
      </c>
      <c r="D223" t="s">
        <v>1549</v>
      </c>
      <c r="E223">
        <v>9</v>
      </c>
      <c r="F223">
        <v>6326</v>
      </c>
      <c r="G223">
        <v>56934</v>
      </c>
    </row>
    <row r="224" spans="1:7" x14ac:dyDescent="0.25">
      <c r="A224" t="s">
        <v>1564</v>
      </c>
      <c r="B224" t="s">
        <v>1551</v>
      </c>
      <c r="C224" t="s">
        <v>1554</v>
      </c>
      <c r="D224" t="s">
        <v>1553</v>
      </c>
      <c r="E224">
        <v>2</v>
      </c>
      <c r="F224">
        <v>28446</v>
      </c>
      <c r="G224">
        <v>56892</v>
      </c>
    </row>
    <row r="225" spans="1:7" x14ac:dyDescent="0.25">
      <c r="A225" t="s">
        <v>1566</v>
      </c>
      <c r="B225" t="s">
        <v>1559</v>
      </c>
      <c r="C225" t="s">
        <v>1565</v>
      </c>
      <c r="D225" t="s">
        <v>1553</v>
      </c>
      <c r="E225">
        <v>4</v>
      </c>
      <c r="F225">
        <v>9446</v>
      </c>
      <c r="G225">
        <v>37784</v>
      </c>
    </row>
    <row r="226" spans="1:7" x14ac:dyDescent="0.25">
      <c r="A226" t="s">
        <v>1555</v>
      </c>
      <c r="B226" t="s">
        <v>1561</v>
      </c>
      <c r="C226" t="s">
        <v>1554</v>
      </c>
      <c r="D226" t="s">
        <v>1553</v>
      </c>
      <c r="E226">
        <v>2</v>
      </c>
      <c r="F226">
        <v>3557</v>
      </c>
      <c r="G226">
        <v>7114</v>
      </c>
    </row>
    <row r="227" spans="1:7" x14ac:dyDescent="0.25">
      <c r="A227" t="s">
        <v>1555</v>
      </c>
      <c r="B227" t="s">
        <v>1551</v>
      </c>
      <c r="C227" t="s">
        <v>1550</v>
      </c>
      <c r="D227" t="s">
        <v>1553</v>
      </c>
      <c r="E227">
        <v>8</v>
      </c>
      <c r="F227">
        <v>26976</v>
      </c>
      <c r="G227">
        <v>215808</v>
      </c>
    </row>
    <row r="228" spans="1:7" x14ac:dyDescent="0.25">
      <c r="A228" t="s">
        <v>1563</v>
      </c>
      <c r="B228" t="s">
        <v>1567</v>
      </c>
      <c r="C228" t="s">
        <v>1565</v>
      </c>
      <c r="D228" t="s">
        <v>1560</v>
      </c>
      <c r="E228">
        <v>5</v>
      </c>
      <c r="F228">
        <v>1891</v>
      </c>
      <c r="G228">
        <v>9455</v>
      </c>
    </row>
    <row r="229" spans="1:7" x14ac:dyDescent="0.25">
      <c r="A229" t="s">
        <v>1564</v>
      </c>
      <c r="B229" t="s">
        <v>1551</v>
      </c>
      <c r="C229" t="s">
        <v>1557</v>
      </c>
      <c r="D229" t="s">
        <v>1562</v>
      </c>
      <c r="E229">
        <v>3</v>
      </c>
      <c r="F229">
        <v>27439</v>
      </c>
      <c r="G229">
        <v>82317</v>
      </c>
    </row>
    <row r="230" spans="1:7" x14ac:dyDescent="0.25">
      <c r="A230" t="s">
        <v>1566</v>
      </c>
      <c r="B230" t="s">
        <v>1559</v>
      </c>
      <c r="C230" t="s">
        <v>1558</v>
      </c>
      <c r="D230" t="s">
        <v>1562</v>
      </c>
      <c r="E230">
        <v>8</v>
      </c>
      <c r="F230">
        <v>17070</v>
      </c>
      <c r="G230">
        <v>136560</v>
      </c>
    </row>
    <row r="231" spans="1:7" x14ac:dyDescent="0.25">
      <c r="A231" t="s">
        <v>1563</v>
      </c>
      <c r="B231" t="s">
        <v>1559</v>
      </c>
      <c r="C231" t="s">
        <v>1550</v>
      </c>
      <c r="D231" t="s">
        <v>1568</v>
      </c>
      <c r="E231">
        <v>10</v>
      </c>
      <c r="F231">
        <v>7095</v>
      </c>
      <c r="G231">
        <v>70950</v>
      </c>
    </row>
    <row r="232" spans="1:7" x14ac:dyDescent="0.25">
      <c r="A232" t="s">
        <v>1564</v>
      </c>
      <c r="B232" t="s">
        <v>1567</v>
      </c>
      <c r="C232" t="s">
        <v>1554</v>
      </c>
      <c r="D232" t="s">
        <v>1568</v>
      </c>
      <c r="E232">
        <v>10</v>
      </c>
      <c r="F232">
        <v>10186</v>
      </c>
      <c r="G232">
        <v>101860</v>
      </c>
    </row>
    <row r="233" spans="1:7" x14ac:dyDescent="0.25">
      <c r="A233" t="s">
        <v>1552</v>
      </c>
      <c r="B233" t="s">
        <v>1551</v>
      </c>
      <c r="C233" t="s">
        <v>1554</v>
      </c>
      <c r="D233" t="s">
        <v>1553</v>
      </c>
      <c r="E233">
        <v>4</v>
      </c>
      <c r="F233">
        <v>17630</v>
      </c>
      <c r="G233">
        <v>70520</v>
      </c>
    </row>
    <row r="234" spans="1:7" x14ac:dyDescent="0.25">
      <c r="A234" t="s">
        <v>1555</v>
      </c>
      <c r="B234" t="s">
        <v>1567</v>
      </c>
      <c r="C234" t="s">
        <v>1557</v>
      </c>
      <c r="D234" t="s">
        <v>1568</v>
      </c>
      <c r="E234">
        <v>7</v>
      </c>
      <c r="F234">
        <v>15363</v>
      </c>
      <c r="G234">
        <v>107541</v>
      </c>
    </row>
    <row r="235" spans="1:7" x14ac:dyDescent="0.25">
      <c r="A235" t="s">
        <v>1566</v>
      </c>
      <c r="B235" t="s">
        <v>1567</v>
      </c>
      <c r="C235" t="s">
        <v>1557</v>
      </c>
      <c r="D235" t="s">
        <v>1556</v>
      </c>
      <c r="E235">
        <v>2</v>
      </c>
      <c r="F235">
        <v>20890</v>
      </c>
      <c r="G235">
        <v>41780</v>
      </c>
    </row>
    <row r="236" spans="1:7" x14ac:dyDescent="0.25">
      <c r="A236" t="s">
        <v>1555</v>
      </c>
      <c r="B236" t="s">
        <v>1561</v>
      </c>
      <c r="C236" t="s">
        <v>1558</v>
      </c>
      <c r="D236" t="s">
        <v>1549</v>
      </c>
      <c r="E236">
        <v>9</v>
      </c>
      <c r="F236">
        <v>26085</v>
      </c>
      <c r="G236">
        <v>234765</v>
      </c>
    </row>
    <row r="237" spans="1:7" x14ac:dyDescent="0.25">
      <c r="A237" t="s">
        <v>1552</v>
      </c>
      <c r="B237" t="s">
        <v>1561</v>
      </c>
      <c r="C237" t="s">
        <v>1558</v>
      </c>
      <c r="D237" t="s">
        <v>1560</v>
      </c>
      <c r="E237">
        <v>3</v>
      </c>
      <c r="F237">
        <v>7572</v>
      </c>
      <c r="G237">
        <v>22716</v>
      </c>
    </row>
    <row r="238" spans="1:7" x14ac:dyDescent="0.25">
      <c r="A238" t="s">
        <v>1552</v>
      </c>
      <c r="B238" t="s">
        <v>1567</v>
      </c>
      <c r="C238" t="s">
        <v>1558</v>
      </c>
      <c r="D238" t="s">
        <v>1568</v>
      </c>
      <c r="E238">
        <v>9</v>
      </c>
      <c r="F238">
        <v>13994</v>
      </c>
      <c r="G238">
        <v>125946</v>
      </c>
    </row>
    <row r="239" spans="1:7" x14ac:dyDescent="0.25">
      <c r="A239" t="s">
        <v>1564</v>
      </c>
      <c r="B239" t="s">
        <v>1567</v>
      </c>
      <c r="C239" t="s">
        <v>1557</v>
      </c>
      <c r="D239" t="s">
        <v>1560</v>
      </c>
      <c r="E239">
        <v>4</v>
      </c>
      <c r="F239">
        <v>9125</v>
      </c>
      <c r="G239">
        <v>36500</v>
      </c>
    </row>
    <row r="240" spans="1:7" x14ac:dyDescent="0.25">
      <c r="A240" t="s">
        <v>1563</v>
      </c>
      <c r="B240" t="s">
        <v>1559</v>
      </c>
      <c r="C240" t="s">
        <v>1558</v>
      </c>
      <c r="D240" t="s">
        <v>1549</v>
      </c>
      <c r="E240">
        <v>7</v>
      </c>
      <c r="F240">
        <v>13621</v>
      </c>
      <c r="G240">
        <v>95347</v>
      </c>
    </row>
    <row r="241" spans="1:7" x14ac:dyDescent="0.25">
      <c r="A241" t="s">
        <v>1563</v>
      </c>
      <c r="B241" t="s">
        <v>1567</v>
      </c>
      <c r="C241" t="s">
        <v>1565</v>
      </c>
      <c r="D241" t="s">
        <v>1553</v>
      </c>
      <c r="E241">
        <v>9</v>
      </c>
      <c r="F241">
        <v>7551</v>
      </c>
      <c r="G241">
        <v>67959</v>
      </c>
    </row>
    <row r="242" spans="1:7" x14ac:dyDescent="0.25">
      <c r="A242" t="s">
        <v>1564</v>
      </c>
      <c r="B242" t="s">
        <v>1561</v>
      </c>
      <c r="C242" t="s">
        <v>1557</v>
      </c>
      <c r="D242" t="s">
        <v>1568</v>
      </c>
      <c r="E242">
        <v>6</v>
      </c>
      <c r="F242">
        <v>26253</v>
      </c>
      <c r="G242">
        <v>157518</v>
      </c>
    </row>
    <row r="243" spans="1:7" x14ac:dyDescent="0.25">
      <c r="A243" t="s">
        <v>1564</v>
      </c>
      <c r="B243" t="s">
        <v>1559</v>
      </c>
      <c r="C243" t="s">
        <v>1554</v>
      </c>
      <c r="D243" t="s">
        <v>1568</v>
      </c>
      <c r="E243">
        <v>5</v>
      </c>
      <c r="F243">
        <v>7327</v>
      </c>
      <c r="G243">
        <v>36635</v>
      </c>
    </row>
    <row r="244" spans="1:7" x14ac:dyDescent="0.25">
      <c r="A244" t="s">
        <v>1563</v>
      </c>
      <c r="B244" t="s">
        <v>1551</v>
      </c>
      <c r="C244" t="s">
        <v>1554</v>
      </c>
      <c r="D244" t="s">
        <v>1560</v>
      </c>
      <c r="E244">
        <v>7</v>
      </c>
      <c r="F244">
        <v>14715</v>
      </c>
      <c r="G244">
        <v>103005</v>
      </c>
    </row>
    <row r="245" spans="1:7" x14ac:dyDescent="0.25">
      <c r="A245" t="s">
        <v>1552</v>
      </c>
      <c r="B245" t="s">
        <v>1567</v>
      </c>
      <c r="C245" t="s">
        <v>1554</v>
      </c>
      <c r="D245" t="s">
        <v>1562</v>
      </c>
      <c r="E245">
        <v>10</v>
      </c>
      <c r="F245">
        <v>24215</v>
      </c>
      <c r="G245">
        <v>242150</v>
      </c>
    </row>
    <row r="246" spans="1:7" x14ac:dyDescent="0.25">
      <c r="A246" t="s">
        <v>1564</v>
      </c>
      <c r="B246" t="s">
        <v>1559</v>
      </c>
      <c r="C246" t="s">
        <v>1550</v>
      </c>
      <c r="D246" t="s">
        <v>1549</v>
      </c>
      <c r="E246">
        <v>2</v>
      </c>
      <c r="F246">
        <v>1141</v>
      </c>
      <c r="G246">
        <v>2282</v>
      </c>
    </row>
    <row r="247" spans="1:7" x14ac:dyDescent="0.25">
      <c r="A247" t="s">
        <v>1564</v>
      </c>
      <c r="B247" t="s">
        <v>1561</v>
      </c>
      <c r="C247" t="s">
        <v>1565</v>
      </c>
      <c r="D247" t="s">
        <v>1560</v>
      </c>
      <c r="E247">
        <v>6</v>
      </c>
      <c r="F247">
        <v>21646</v>
      </c>
      <c r="G247">
        <v>129876</v>
      </c>
    </row>
    <row r="248" spans="1:7" x14ac:dyDescent="0.25">
      <c r="A248" t="s">
        <v>1566</v>
      </c>
      <c r="B248" t="s">
        <v>1567</v>
      </c>
      <c r="C248" t="s">
        <v>1550</v>
      </c>
      <c r="D248" t="s">
        <v>1556</v>
      </c>
      <c r="E248">
        <v>3</v>
      </c>
      <c r="F248">
        <v>5010</v>
      </c>
      <c r="G248">
        <v>15030</v>
      </c>
    </row>
    <row r="249" spans="1:7" x14ac:dyDescent="0.25">
      <c r="A249" t="s">
        <v>1555</v>
      </c>
      <c r="B249" t="s">
        <v>1561</v>
      </c>
      <c r="C249" t="s">
        <v>1565</v>
      </c>
      <c r="D249" t="s">
        <v>1556</v>
      </c>
      <c r="E249">
        <v>5</v>
      </c>
      <c r="F249">
        <v>24487</v>
      </c>
      <c r="G249">
        <v>122435</v>
      </c>
    </row>
    <row r="250" spans="1:7" x14ac:dyDescent="0.25">
      <c r="A250" t="s">
        <v>1564</v>
      </c>
      <c r="B250" t="s">
        <v>1551</v>
      </c>
      <c r="C250" t="s">
        <v>1550</v>
      </c>
      <c r="D250" t="s">
        <v>1556</v>
      </c>
      <c r="E250">
        <v>1</v>
      </c>
      <c r="F250">
        <v>22221</v>
      </c>
      <c r="G250">
        <v>22221</v>
      </c>
    </row>
    <row r="251" spans="1:7" x14ac:dyDescent="0.25">
      <c r="A251" t="s">
        <v>1566</v>
      </c>
      <c r="B251" t="s">
        <v>1561</v>
      </c>
      <c r="C251" t="s">
        <v>1558</v>
      </c>
      <c r="D251" t="s">
        <v>1568</v>
      </c>
      <c r="E251">
        <v>4</v>
      </c>
      <c r="F251">
        <v>23769</v>
      </c>
      <c r="G251">
        <v>95076</v>
      </c>
    </row>
    <row r="252" spans="1:7" x14ac:dyDescent="0.25">
      <c r="A252" t="s">
        <v>1566</v>
      </c>
      <c r="B252" t="s">
        <v>1567</v>
      </c>
      <c r="C252" t="s">
        <v>1557</v>
      </c>
      <c r="D252" t="s">
        <v>1553</v>
      </c>
      <c r="E252">
        <v>10</v>
      </c>
      <c r="F252">
        <v>1935</v>
      </c>
      <c r="G252">
        <v>19350</v>
      </c>
    </row>
    <row r="253" spans="1:7" x14ac:dyDescent="0.25">
      <c r="A253" t="s">
        <v>1555</v>
      </c>
      <c r="B253" t="s">
        <v>1559</v>
      </c>
      <c r="C253" t="s">
        <v>1557</v>
      </c>
      <c r="D253" t="s">
        <v>1553</v>
      </c>
      <c r="E253">
        <v>3</v>
      </c>
      <c r="F253">
        <v>15298</v>
      </c>
      <c r="G253">
        <v>45894</v>
      </c>
    </row>
    <row r="254" spans="1:7" x14ac:dyDescent="0.25">
      <c r="A254" t="s">
        <v>1564</v>
      </c>
      <c r="B254" t="s">
        <v>1551</v>
      </c>
      <c r="C254" t="s">
        <v>1557</v>
      </c>
      <c r="D254" t="s">
        <v>1556</v>
      </c>
      <c r="E254">
        <v>4</v>
      </c>
      <c r="F254">
        <v>13700</v>
      </c>
      <c r="G254">
        <v>54800</v>
      </c>
    </row>
    <row r="255" spans="1:7" x14ac:dyDescent="0.25">
      <c r="A255" t="s">
        <v>1555</v>
      </c>
      <c r="B255" t="s">
        <v>1561</v>
      </c>
      <c r="C255" t="s">
        <v>1557</v>
      </c>
      <c r="D255" t="s">
        <v>1560</v>
      </c>
      <c r="E255">
        <v>1</v>
      </c>
      <c r="F255">
        <v>1484</v>
      </c>
      <c r="G255">
        <v>1484</v>
      </c>
    </row>
    <row r="256" spans="1:7" x14ac:dyDescent="0.25">
      <c r="A256" t="s">
        <v>1563</v>
      </c>
      <c r="B256" t="s">
        <v>1561</v>
      </c>
      <c r="C256" t="s">
        <v>1550</v>
      </c>
      <c r="D256" t="s">
        <v>1556</v>
      </c>
      <c r="E256">
        <v>8</v>
      </c>
      <c r="F256">
        <v>23401</v>
      </c>
      <c r="G256">
        <v>187208</v>
      </c>
    </row>
    <row r="257" spans="1:7" x14ac:dyDescent="0.25">
      <c r="A257" t="s">
        <v>1564</v>
      </c>
      <c r="B257" t="s">
        <v>1567</v>
      </c>
      <c r="C257" t="s">
        <v>1565</v>
      </c>
      <c r="D257" t="s">
        <v>1556</v>
      </c>
      <c r="E257">
        <v>2</v>
      </c>
      <c r="F257">
        <v>27779</v>
      </c>
      <c r="G257">
        <v>55558</v>
      </c>
    </row>
    <row r="258" spans="1:7" x14ac:dyDescent="0.25">
      <c r="A258" t="s">
        <v>1564</v>
      </c>
      <c r="B258" t="s">
        <v>1567</v>
      </c>
      <c r="C258" t="s">
        <v>1550</v>
      </c>
      <c r="D258" t="s">
        <v>1560</v>
      </c>
      <c r="E258">
        <v>1</v>
      </c>
      <c r="F258">
        <v>5445</v>
      </c>
      <c r="G258">
        <v>5445</v>
      </c>
    </row>
    <row r="259" spans="1:7" x14ac:dyDescent="0.25">
      <c r="A259" t="s">
        <v>1563</v>
      </c>
      <c r="B259" t="s">
        <v>1561</v>
      </c>
      <c r="C259" t="s">
        <v>1565</v>
      </c>
      <c r="D259" t="s">
        <v>1549</v>
      </c>
      <c r="E259">
        <v>1</v>
      </c>
      <c r="F259">
        <v>14083</v>
      </c>
      <c r="G259">
        <v>14083</v>
      </c>
    </row>
    <row r="260" spans="1:7" x14ac:dyDescent="0.25">
      <c r="A260" t="s">
        <v>1555</v>
      </c>
      <c r="B260" t="s">
        <v>1567</v>
      </c>
      <c r="C260" t="s">
        <v>1565</v>
      </c>
      <c r="D260" t="s">
        <v>1560</v>
      </c>
      <c r="E260">
        <v>1</v>
      </c>
      <c r="F260">
        <v>25388</v>
      </c>
      <c r="G260">
        <v>25388</v>
      </c>
    </row>
    <row r="261" spans="1:7" x14ac:dyDescent="0.25">
      <c r="A261" t="s">
        <v>1555</v>
      </c>
      <c r="B261" t="s">
        <v>1551</v>
      </c>
      <c r="C261" t="s">
        <v>1554</v>
      </c>
      <c r="D261" t="s">
        <v>1568</v>
      </c>
      <c r="E261">
        <v>1</v>
      </c>
      <c r="F261">
        <v>26102</v>
      </c>
      <c r="G261">
        <v>26102</v>
      </c>
    </row>
    <row r="262" spans="1:7" x14ac:dyDescent="0.25">
      <c r="A262" t="s">
        <v>1552</v>
      </c>
      <c r="B262" t="s">
        <v>1567</v>
      </c>
      <c r="C262" t="s">
        <v>1558</v>
      </c>
      <c r="D262" t="s">
        <v>1549</v>
      </c>
      <c r="E262">
        <v>6</v>
      </c>
      <c r="F262">
        <v>26624</v>
      </c>
      <c r="G262">
        <v>159744</v>
      </c>
    </row>
    <row r="263" spans="1:7" x14ac:dyDescent="0.25">
      <c r="A263" t="s">
        <v>1566</v>
      </c>
      <c r="B263" t="s">
        <v>1567</v>
      </c>
      <c r="C263" t="s">
        <v>1554</v>
      </c>
      <c r="D263" t="s">
        <v>1556</v>
      </c>
      <c r="E263">
        <v>1</v>
      </c>
      <c r="F263">
        <v>23419</v>
      </c>
      <c r="G263">
        <v>23419</v>
      </c>
    </row>
    <row r="264" spans="1:7" x14ac:dyDescent="0.25">
      <c r="A264" t="s">
        <v>1566</v>
      </c>
      <c r="B264" t="s">
        <v>1551</v>
      </c>
      <c r="C264" t="s">
        <v>1565</v>
      </c>
      <c r="D264" t="s">
        <v>1560</v>
      </c>
      <c r="E264">
        <v>8</v>
      </c>
      <c r="F264">
        <v>18650</v>
      </c>
      <c r="G264">
        <v>149200</v>
      </c>
    </row>
    <row r="265" spans="1:7" x14ac:dyDescent="0.25">
      <c r="A265" t="s">
        <v>1552</v>
      </c>
      <c r="B265" t="s">
        <v>1561</v>
      </c>
      <c r="C265" t="s">
        <v>1558</v>
      </c>
      <c r="D265" t="s">
        <v>1562</v>
      </c>
      <c r="E265">
        <v>6</v>
      </c>
      <c r="F265">
        <v>10835</v>
      </c>
      <c r="G265">
        <v>65010</v>
      </c>
    </row>
    <row r="266" spans="1:7" x14ac:dyDescent="0.25">
      <c r="A266" t="s">
        <v>1566</v>
      </c>
      <c r="B266" t="s">
        <v>1567</v>
      </c>
      <c r="C266" t="s">
        <v>1554</v>
      </c>
      <c r="D266" t="s">
        <v>1568</v>
      </c>
      <c r="E266">
        <v>7</v>
      </c>
      <c r="F266">
        <v>5241</v>
      </c>
      <c r="G266">
        <v>36687</v>
      </c>
    </row>
    <row r="267" spans="1:7" x14ac:dyDescent="0.25">
      <c r="A267" t="s">
        <v>1564</v>
      </c>
      <c r="B267" t="s">
        <v>1559</v>
      </c>
      <c r="C267" t="s">
        <v>1557</v>
      </c>
      <c r="D267" t="s">
        <v>1556</v>
      </c>
      <c r="E267">
        <v>4</v>
      </c>
      <c r="F267">
        <v>12424</v>
      </c>
      <c r="G267">
        <v>49696</v>
      </c>
    </row>
    <row r="268" spans="1:7" x14ac:dyDescent="0.25">
      <c r="A268" t="s">
        <v>1555</v>
      </c>
      <c r="B268" t="s">
        <v>1561</v>
      </c>
      <c r="C268" t="s">
        <v>1550</v>
      </c>
      <c r="D268" t="s">
        <v>1562</v>
      </c>
      <c r="E268">
        <v>5</v>
      </c>
      <c r="F268">
        <v>10039</v>
      </c>
      <c r="G268">
        <v>50195</v>
      </c>
    </row>
    <row r="269" spans="1:7" x14ac:dyDescent="0.25">
      <c r="A269" t="s">
        <v>1555</v>
      </c>
      <c r="B269" t="s">
        <v>1559</v>
      </c>
      <c r="C269" t="s">
        <v>1558</v>
      </c>
      <c r="D269" t="s">
        <v>1560</v>
      </c>
      <c r="E269">
        <v>1</v>
      </c>
      <c r="F269">
        <v>9053</v>
      </c>
      <c r="G269">
        <v>9053</v>
      </c>
    </row>
    <row r="270" spans="1:7" x14ac:dyDescent="0.25">
      <c r="A270" t="s">
        <v>1552</v>
      </c>
      <c r="B270" t="s">
        <v>1561</v>
      </c>
      <c r="C270" t="s">
        <v>1550</v>
      </c>
      <c r="D270" t="s">
        <v>1553</v>
      </c>
      <c r="E270">
        <v>5</v>
      </c>
      <c r="F270">
        <v>2334</v>
      </c>
      <c r="G270">
        <v>11670</v>
      </c>
    </row>
    <row r="271" spans="1:7" x14ac:dyDescent="0.25">
      <c r="A271" t="s">
        <v>1566</v>
      </c>
      <c r="B271" t="s">
        <v>1551</v>
      </c>
      <c r="C271" t="s">
        <v>1550</v>
      </c>
      <c r="D271" t="s">
        <v>1568</v>
      </c>
      <c r="E271">
        <v>1</v>
      </c>
      <c r="F271">
        <v>1506</v>
      </c>
      <c r="G271">
        <v>1506</v>
      </c>
    </row>
    <row r="272" spans="1:7" x14ac:dyDescent="0.25">
      <c r="A272" t="s">
        <v>1566</v>
      </c>
      <c r="B272" t="s">
        <v>1567</v>
      </c>
      <c r="C272" t="s">
        <v>1558</v>
      </c>
      <c r="D272" t="s">
        <v>1562</v>
      </c>
      <c r="E272">
        <v>10</v>
      </c>
      <c r="F272">
        <v>10255</v>
      </c>
      <c r="G272">
        <v>102550</v>
      </c>
    </row>
    <row r="273" spans="1:7" x14ac:dyDescent="0.25">
      <c r="A273" t="s">
        <v>1555</v>
      </c>
      <c r="B273" t="s">
        <v>1559</v>
      </c>
      <c r="C273" t="s">
        <v>1558</v>
      </c>
      <c r="D273" t="s">
        <v>1556</v>
      </c>
      <c r="E273">
        <v>4</v>
      </c>
      <c r="F273">
        <v>28266</v>
      </c>
      <c r="G273">
        <v>113064</v>
      </c>
    </row>
    <row r="274" spans="1:7" x14ac:dyDescent="0.25">
      <c r="A274" t="s">
        <v>1566</v>
      </c>
      <c r="B274" t="s">
        <v>1559</v>
      </c>
      <c r="C274" t="s">
        <v>1565</v>
      </c>
      <c r="D274" t="s">
        <v>1568</v>
      </c>
      <c r="E274">
        <v>8</v>
      </c>
      <c r="F274">
        <v>13372</v>
      </c>
      <c r="G274">
        <v>106976</v>
      </c>
    </row>
    <row r="275" spans="1:7" x14ac:dyDescent="0.25">
      <c r="A275" t="s">
        <v>1563</v>
      </c>
      <c r="B275" t="s">
        <v>1559</v>
      </c>
      <c r="C275" t="s">
        <v>1558</v>
      </c>
      <c r="D275" t="s">
        <v>1549</v>
      </c>
      <c r="E275">
        <v>4</v>
      </c>
      <c r="F275">
        <v>14197</v>
      </c>
      <c r="G275">
        <v>56788</v>
      </c>
    </row>
    <row r="276" spans="1:7" x14ac:dyDescent="0.25">
      <c r="A276" t="s">
        <v>1563</v>
      </c>
      <c r="B276" t="s">
        <v>1551</v>
      </c>
      <c r="C276" t="s">
        <v>1558</v>
      </c>
      <c r="D276" t="s">
        <v>1556</v>
      </c>
      <c r="E276">
        <v>1</v>
      </c>
      <c r="F276">
        <v>19513</v>
      </c>
      <c r="G276">
        <v>19513</v>
      </c>
    </row>
    <row r="277" spans="1:7" x14ac:dyDescent="0.25">
      <c r="A277" t="s">
        <v>1564</v>
      </c>
      <c r="B277" t="s">
        <v>1567</v>
      </c>
      <c r="C277" t="s">
        <v>1558</v>
      </c>
      <c r="D277" t="s">
        <v>1556</v>
      </c>
      <c r="E277">
        <v>9</v>
      </c>
      <c r="F277">
        <v>7335</v>
      </c>
      <c r="G277">
        <v>66015</v>
      </c>
    </row>
    <row r="278" spans="1:7" x14ac:dyDescent="0.25">
      <c r="A278" t="s">
        <v>1563</v>
      </c>
      <c r="B278" t="s">
        <v>1551</v>
      </c>
      <c r="C278" t="s">
        <v>1554</v>
      </c>
      <c r="D278" t="s">
        <v>1560</v>
      </c>
      <c r="E278">
        <v>6</v>
      </c>
      <c r="F278">
        <v>26248</v>
      </c>
      <c r="G278">
        <v>157488</v>
      </c>
    </row>
    <row r="279" spans="1:7" x14ac:dyDescent="0.25">
      <c r="A279" t="s">
        <v>1555</v>
      </c>
      <c r="B279" t="s">
        <v>1561</v>
      </c>
      <c r="C279" t="s">
        <v>1550</v>
      </c>
      <c r="D279" t="s">
        <v>1556</v>
      </c>
      <c r="E279">
        <v>4</v>
      </c>
      <c r="F279">
        <v>28970</v>
      </c>
      <c r="G279">
        <v>115880</v>
      </c>
    </row>
    <row r="280" spans="1:7" x14ac:dyDescent="0.25">
      <c r="A280" t="s">
        <v>1563</v>
      </c>
      <c r="B280" t="s">
        <v>1567</v>
      </c>
      <c r="C280" t="s">
        <v>1554</v>
      </c>
      <c r="D280" t="s">
        <v>1556</v>
      </c>
      <c r="E280">
        <v>1</v>
      </c>
      <c r="F280">
        <v>1226</v>
      </c>
      <c r="G280">
        <v>1226</v>
      </c>
    </row>
    <row r="281" spans="1:7" x14ac:dyDescent="0.25">
      <c r="A281" t="s">
        <v>1566</v>
      </c>
      <c r="B281" t="s">
        <v>1559</v>
      </c>
      <c r="C281" t="s">
        <v>1554</v>
      </c>
      <c r="D281" t="s">
        <v>1556</v>
      </c>
      <c r="E281">
        <v>5</v>
      </c>
      <c r="F281">
        <v>18695</v>
      </c>
      <c r="G281">
        <v>93475</v>
      </c>
    </row>
    <row r="282" spans="1:7" x14ac:dyDescent="0.25">
      <c r="A282" t="s">
        <v>1555</v>
      </c>
      <c r="B282" t="s">
        <v>1567</v>
      </c>
      <c r="C282" t="s">
        <v>1558</v>
      </c>
      <c r="D282" t="s">
        <v>1562</v>
      </c>
      <c r="E282">
        <v>5</v>
      </c>
      <c r="F282">
        <v>23169</v>
      </c>
      <c r="G282">
        <v>115845</v>
      </c>
    </row>
    <row r="283" spans="1:7" x14ac:dyDescent="0.25">
      <c r="A283" t="s">
        <v>1566</v>
      </c>
      <c r="B283" t="s">
        <v>1559</v>
      </c>
      <c r="C283" t="s">
        <v>1550</v>
      </c>
      <c r="D283" t="s">
        <v>1556</v>
      </c>
      <c r="E283">
        <v>5</v>
      </c>
      <c r="F283">
        <v>5057</v>
      </c>
      <c r="G283">
        <v>25285</v>
      </c>
    </row>
    <row r="284" spans="1:7" x14ac:dyDescent="0.25">
      <c r="A284" t="s">
        <v>1564</v>
      </c>
      <c r="B284" t="s">
        <v>1559</v>
      </c>
      <c r="C284" t="s">
        <v>1565</v>
      </c>
      <c r="D284" t="s">
        <v>1562</v>
      </c>
      <c r="E284">
        <v>10</v>
      </c>
      <c r="F284">
        <v>22704</v>
      </c>
      <c r="G284">
        <v>227040</v>
      </c>
    </row>
    <row r="285" spans="1:7" x14ac:dyDescent="0.25">
      <c r="A285" t="s">
        <v>1564</v>
      </c>
      <c r="B285" t="s">
        <v>1559</v>
      </c>
      <c r="C285" t="s">
        <v>1557</v>
      </c>
      <c r="D285" t="s">
        <v>1560</v>
      </c>
      <c r="E285">
        <v>6</v>
      </c>
      <c r="F285">
        <v>17811</v>
      </c>
      <c r="G285">
        <v>106866</v>
      </c>
    </row>
    <row r="286" spans="1:7" x14ac:dyDescent="0.25">
      <c r="A286" t="s">
        <v>1566</v>
      </c>
      <c r="B286" t="s">
        <v>1567</v>
      </c>
      <c r="C286" t="s">
        <v>1554</v>
      </c>
      <c r="D286" t="s">
        <v>1553</v>
      </c>
      <c r="E286">
        <v>1</v>
      </c>
      <c r="F286">
        <v>16084</v>
      </c>
      <c r="G286">
        <v>16084</v>
      </c>
    </row>
    <row r="287" spans="1:7" x14ac:dyDescent="0.25">
      <c r="A287" t="s">
        <v>1555</v>
      </c>
      <c r="B287" t="s">
        <v>1567</v>
      </c>
      <c r="C287" t="s">
        <v>1554</v>
      </c>
      <c r="D287" t="s">
        <v>1562</v>
      </c>
      <c r="E287">
        <v>2</v>
      </c>
      <c r="F287">
        <v>22705</v>
      </c>
      <c r="G287">
        <v>45410</v>
      </c>
    </row>
    <row r="288" spans="1:7" x14ac:dyDescent="0.25">
      <c r="A288" t="s">
        <v>1552</v>
      </c>
      <c r="B288" t="s">
        <v>1559</v>
      </c>
      <c r="C288" t="s">
        <v>1550</v>
      </c>
      <c r="D288" t="s">
        <v>1549</v>
      </c>
      <c r="E288">
        <v>1</v>
      </c>
      <c r="F288">
        <v>12455</v>
      </c>
      <c r="G288">
        <v>12455</v>
      </c>
    </row>
    <row r="289" spans="1:7" x14ac:dyDescent="0.25">
      <c r="A289" t="s">
        <v>1566</v>
      </c>
      <c r="B289" t="s">
        <v>1561</v>
      </c>
      <c r="C289" t="s">
        <v>1557</v>
      </c>
      <c r="D289" t="s">
        <v>1562</v>
      </c>
      <c r="E289">
        <v>7</v>
      </c>
      <c r="F289">
        <v>6211</v>
      </c>
      <c r="G289">
        <v>43477</v>
      </c>
    </row>
    <row r="290" spans="1:7" x14ac:dyDescent="0.25">
      <c r="A290" t="s">
        <v>1566</v>
      </c>
      <c r="B290" t="s">
        <v>1561</v>
      </c>
      <c r="C290" t="s">
        <v>1554</v>
      </c>
      <c r="D290" t="s">
        <v>1553</v>
      </c>
      <c r="E290">
        <v>3</v>
      </c>
      <c r="F290">
        <v>17029</v>
      </c>
      <c r="G290">
        <v>51087</v>
      </c>
    </row>
    <row r="291" spans="1:7" x14ac:dyDescent="0.25">
      <c r="A291" t="s">
        <v>1563</v>
      </c>
      <c r="B291" t="s">
        <v>1561</v>
      </c>
      <c r="C291" t="s">
        <v>1550</v>
      </c>
      <c r="D291" t="s">
        <v>1549</v>
      </c>
      <c r="E291">
        <v>6</v>
      </c>
      <c r="F291">
        <v>14459</v>
      </c>
      <c r="G291">
        <v>86754</v>
      </c>
    </row>
    <row r="292" spans="1:7" x14ac:dyDescent="0.25">
      <c r="A292" t="s">
        <v>1566</v>
      </c>
      <c r="B292" t="s">
        <v>1551</v>
      </c>
      <c r="C292" t="s">
        <v>1550</v>
      </c>
      <c r="D292" t="s">
        <v>1560</v>
      </c>
      <c r="E292">
        <v>5</v>
      </c>
      <c r="F292">
        <v>4266</v>
      </c>
      <c r="G292">
        <v>21330</v>
      </c>
    </row>
    <row r="293" spans="1:7" x14ac:dyDescent="0.25">
      <c r="A293" t="s">
        <v>1555</v>
      </c>
      <c r="B293" t="s">
        <v>1567</v>
      </c>
      <c r="C293" t="s">
        <v>1554</v>
      </c>
      <c r="D293" t="s">
        <v>1568</v>
      </c>
      <c r="E293">
        <v>5</v>
      </c>
      <c r="F293">
        <v>26448</v>
      </c>
      <c r="G293">
        <v>132240</v>
      </c>
    </row>
    <row r="294" spans="1:7" x14ac:dyDescent="0.25">
      <c r="A294" t="s">
        <v>1566</v>
      </c>
      <c r="B294" t="s">
        <v>1559</v>
      </c>
      <c r="C294" t="s">
        <v>1557</v>
      </c>
      <c r="D294" t="s">
        <v>1568</v>
      </c>
      <c r="E294">
        <v>9</v>
      </c>
      <c r="F294">
        <v>4027</v>
      </c>
      <c r="G294">
        <v>36243</v>
      </c>
    </row>
    <row r="295" spans="1:7" x14ac:dyDescent="0.25">
      <c r="A295" t="s">
        <v>1564</v>
      </c>
      <c r="B295" t="s">
        <v>1561</v>
      </c>
      <c r="C295" t="s">
        <v>1550</v>
      </c>
      <c r="D295" t="s">
        <v>1562</v>
      </c>
      <c r="E295">
        <v>8</v>
      </c>
      <c r="F295">
        <v>13387</v>
      </c>
      <c r="G295">
        <v>107096</v>
      </c>
    </row>
    <row r="296" spans="1:7" x14ac:dyDescent="0.25">
      <c r="A296" t="s">
        <v>1555</v>
      </c>
      <c r="B296" t="s">
        <v>1551</v>
      </c>
      <c r="C296" t="s">
        <v>1565</v>
      </c>
      <c r="D296" t="s">
        <v>1560</v>
      </c>
      <c r="E296">
        <v>7</v>
      </c>
      <c r="F296">
        <v>18439</v>
      </c>
      <c r="G296">
        <v>129073</v>
      </c>
    </row>
    <row r="297" spans="1:7" x14ac:dyDescent="0.25">
      <c r="A297" t="s">
        <v>1552</v>
      </c>
      <c r="B297" t="s">
        <v>1561</v>
      </c>
      <c r="C297" t="s">
        <v>1550</v>
      </c>
      <c r="D297" t="s">
        <v>1562</v>
      </c>
      <c r="E297">
        <v>9</v>
      </c>
      <c r="F297">
        <v>13538</v>
      </c>
      <c r="G297">
        <v>121842</v>
      </c>
    </row>
    <row r="298" spans="1:7" x14ac:dyDescent="0.25">
      <c r="A298" t="s">
        <v>1564</v>
      </c>
      <c r="B298" t="s">
        <v>1551</v>
      </c>
      <c r="C298" t="s">
        <v>1550</v>
      </c>
      <c r="D298" t="s">
        <v>1553</v>
      </c>
      <c r="E298">
        <v>3</v>
      </c>
      <c r="F298">
        <v>20254</v>
      </c>
      <c r="G298">
        <v>60762</v>
      </c>
    </row>
    <row r="299" spans="1:7" x14ac:dyDescent="0.25">
      <c r="A299" t="s">
        <v>1552</v>
      </c>
      <c r="B299" t="s">
        <v>1567</v>
      </c>
      <c r="C299" t="s">
        <v>1550</v>
      </c>
      <c r="D299" t="s">
        <v>1560</v>
      </c>
      <c r="E299">
        <v>3</v>
      </c>
      <c r="F299">
        <v>24265</v>
      </c>
      <c r="G299">
        <v>72795</v>
      </c>
    </row>
    <row r="300" spans="1:7" x14ac:dyDescent="0.25">
      <c r="A300" t="s">
        <v>1564</v>
      </c>
      <c r="B300" t="s">
        <v>1561</v>
      </c>
      <c r="C300" t="s">
        <v>1558</v>
      </c>
      <c r="D300" t="s">
        <v>1556</v>
      </c>
      <c r="E300">
        <v>5</v>
      </c>
      <c r="F300">
        <v>15505</v>
      </c>
      <c r="G300">
        <v>77525</v>
      </c>
    </row>
    <row r="301" spans="1:7" x14ac:dyDescent="0.25">
      <c r="A301" t="s">
        <v>1555</v>
      </c>
      <c r="B301" t="s">
        <v>1559</v>
      </c>
      <c r="C301" t="s">
        <v>1554</v>
      </c>
      <c r="D301" t="s">
        <v>1560</v>
      </c>
      <c r="E301">
        <v>7</v>
      </c>
      <c r="F301">
        <v>20175</v>
      </c>
      <c r="G301">
        <v>141225</v>
      </c>
    </row>
    <row r="302" spans="1:7" x14ac:dyDescent="0.25">
      <c r="A302" t="s">
        <v>1563</v>
      </c>
      <c r="B302" t="s">
        <v>1551</v>
      </c>
      <c r="C302" t="s">
        <v>1550</v>
      </c>
      <c r="D302" t="s">
        <v>1562</v>
      </c>
      <c r="E302">
        <v>2</v>
      </c>
      <c r="F302">
        <v>29855</v>
      </c>
      <c r="G302">
        <v>59710</v>
      </c>
    </row>
    <row r="303" spans="1:7" x14ac:dyDescent="0.25">
      <c r="A303" t="s">
        <v>1555</v>
      </c>
      <c r="B303" t="s">
        <v>1567</v>
      </c>
      <c r="C303" t="s">
        <v>1554</v>
      </c>
      <c r="D303" t="s">
        <v>1549</v>
      </c>
      <c r="E303">
        <v>10</v>
      </c>
      <c r="F303">
        <v>8031</v>
      </c>
      <c r="G303">
        <v>80310</v>
      </c>
    </row>
    <row r="304" spans="1:7" x14ac:dyDescent="0.25">
      <c r="A304" t="s">
        <v>1555</v>
      </c>
      <c r="B304" t="s">
        <v>1567</v>
      </c>
      <c r="C304" t="s">
        <v>1557</v>
      </c>
      <c r="D304" t="s">
        <v>1556</v>
      </c>
      <c r="E304">
        <v>8</v>
      </c>
      <c r="F304">
        <v>21906</v>
      </c>
      <c r="G304">
        <v>175248</v>
      </c>
    </row>
    <row r="305" spans="1:7" x14ac:dyDescent="0.25">
      <c r="A305" t="s">
        <v>1552</v>
      </c>
      <c r="B305" t="s">
        <v>1551</v>
      </c>
      <c r="C305" t="s">
        <v>1558</v>
      </c>
      <c r="D305" t="s">
        <v>1568</v>
      </c>
      <c r="E305">
        <v>3</v>
      </c>
      <c r="F305">
        <v>24713</v>
      </c>
      <c r="G305">
        <v>74139</v>
      </c>
    </row>
    <row r="306" spans="1:7" x14ac:dyDescent="0.25">
      <c r="A306" t="s">
        <v>1555</v>
      </c>
      <c r="B306" t="s">
        <v>1559</v>
      </c>
      <c r="C306" t="s">
        <v>1565</v>
      </c>
      <c r="D306" t="s">
        <v>1568</v>
      </c>
      <c r="E306">
        <v>9</v>
      </c>
      <c r="F306">
        <v>28189</v>
      </c>
      <c r="G306">
        <v>253701</v>
      </c>
    </row>
    <row r="307" spans="1:7" x14ac:dyDescent="0.25">
      <c r="A307" t="s">
        <v>1555</v>
      </c>
      <c r="B307" t="s">
        <v>1561</v>
      </c>
      <c r="C307" t="s">
        <v>1565</v>
      </c>
      <c r="D307" t="s">
        <v>1568</v>
      </c>
      <c r="E307">
        <v>5</v>
      </c>
      <c r="F307">
        <v>11021</v>
      </c>
      <c r="G307">
        <v>55105</v>
      </c>
    </row>
    <row r="308" spans="1:7" x14ac:dyDescent="0.25">
      <c r="A308" t="s">
        <v>1552</v>
      </c>
      <c r="B308" t="s">
        <v>1559</v>
      </c>
      <c r="C308" t="s">
        <v>1554</v>
      </c>
      <c r="D308" t="s">
        <v>1562</v>
      </c>
      <c r="E308">
        <v>5</v>
      </c>
      <c r="F308">
        <v>2943</v>
      </c>
      <c r="G308">
        <v>14715</v>
      </c>
    </row>
    <row r="309" spans="1:7" x14ac:dyDescent="0.25">
      <c r="A309" t="s">
        <v>1564</v>
      </c>
      <c r="B309" t="s">
        <v>1561</v>
      </c>
      <c r="C309" t="s">
        <v>1565</v>
      </c>
      <c r="D309" t="s">
        <v>1553</v>
      </c>
      <c r="E309">
        <v>4</v>
      </c>
      <c r="F309">
        <v>19499</v>
      </c>
      <c r="G309">
        <v>77996</v>
      </c>
    </row>
    <row r="310" spans="1:7" x14ac:dyDescent="0.25">
      <c r="A310" t="s">
        <v>1552</v>
      </c>
      <c r="B310" t="s">
        <v>1561</v>
      </c>
      <c r="C310" t="s">
        <v>1550</v>
      </c>
      <c r="D310" t="s">
        <v>1556</v>
      </c>
      <c r="E310">
        <v>3</v>
      </c>
      <c r="F310">
        <v>28778</v>
      </c>
      <c r="G310">
        <v>86334</v>
      </c>
    </row>
    <row r="311" spans="1:7" x14ac:dyDescent="0.25">
      <c r="A311" t="s">
        <v>1555</v>
      </c>
      <c r="B311" t="s">
        <v>1551</v>
      </c>
      <c r="C311" t="s">
        <v>1557</v>
      </c>
      <c r="D311" t="s">
        <v>1562</v>
      </c>
      <c r="E311">
        <v>6</v>
      </c>
      <c r="F311">
        <v>15167</v>
      </c>
      <c r="G311">
        <v>91002</v>
      </c>
    </row>
    <row r="312" spans="1:7" x14ac:dyDescent="0.25">
      <c r="A312" t="s">
        <v>1564</v>
      </c>
      <c r="B312" t="s">
        <v>1561</v>
      </c>
      <c r="C312" t="s">
        <v>1550</v>
      </c>
      <c r="D312" t="s">
        <v>1568</v>
      </c>
      <c r="E312">
        <v>8</v>
      </c>
      <c r="F312">
        <v>19421</v>
      </c>
      <c r="G312">
        <v>155368</v>
      </c>
    </row>
    <row r="313" spans="1:7" x14ac:dyDescent="0.25">
      <c r="A313" t="s">
        <v>1552</v>
      </c>
      <c r="B313" t="s">
        <v>1551</v>
      </c>
      <c r="C313" t="s">
        <v>1565</v>
      </c>
      <c r="D313" t="s">
        <v>1562</v>
      </c>
      <c r="E313">
        <v>9</v>
      </c>
      <c r="F313">
        <v>8089</v>
      </c>
      <c r="G313">
        <v>72801</v>
      </c>
    </row>
    <row r="314" spans="1:7" x14ac:dyDescent="0.25">
      <c r="A314" t="s">
        <v>1564</v>
      </c>
      <c r="B314" t="s">
        <v>1567</v>
      </c>
      <c r="C314" t="s">
        <v>1554</v>
      </c>
      <c r="D314" t="s">
        <v>1568</v>
      </c>
      <c r="E314">
        <v>1</v>
      </c>
      <c r="F314">
        <v>12234</v>
      </c>
      <c r="G314">
        <v>12234</v>
      </c>
    </row>
    <row r="315" spans="1:7" x14ac:dyDescent="0.25">
      <c r="A315" t="s">
        <v>1564</v>
      </c>
      <c r="B315" t="s">
        <v>1567</v>
      </c>
      <c r="C315" t="s">
        <v>1557</v>
      </c>
      <c r="D315" t="s">
        <v>1568</v>
      </c>
      <c r="E315">
        <v>5</v>
      </c>
      <c r="F315">
        <v>23160</v>
      </c>
      <c r="G315">
        <v>115800</v>
      </c>
    </row>
    <row r="316" spans="1:7" x14ac:dyDescent="0.25">
      <c r="A316" t="s">
        <v>1563</v>
      </c>
      <c r="B316" t="s">
        <v>1551</v>
      </c>
      <c r="C316" t="s">
        <v>1557</v>
      </c>
      <c r="D316" t="s">
        <v>1562</v>
      </c>
      <c r="E316">
        <v>10</v>
      </c>
      <c r="F316">
        <v>4837</v>
      </c>
      <c r="G316">
        <v>48370</v>
      </c>
    </row>
    <row r="317" spans="1:7" x14ac:dyDescent="0.25">
      <c r="A317" t="s">
        <v>1566</v>
      </c>
      <c r="B317" t="s">
        <v>1559</v>
      </c>
      <c r="C317" t="s">
        <v>1557</v>
      </c>
      <c r="D317" t="s">
        <v>1556</v>
      </c>
      <c r="E317">
        <v>10</v>
      </c>
      <c r="F317">
        <v>4473</v>
      </c>
      <c r="G317">
        <v>44730</v>
      </c>
    </row>
    <row r="318" spans="1:7" x14ac:dyDescent="0.25">
      <c r="A318" t="s">
        <v>1564</v>
      </c>
      <c r="B318" t="s">
        <v>1559</v>
      </c>
      <c r="C318" t="s">
        <v>1557</v>
      </c>
      <c r="D318" t="s">
        <v>1549</v>
      </c>
      <c r="E318">
        <v>8</v>
      </c>
      <c r="F318">
        <v>5885</v>
      </c>
      <c r="G318">
        <v>47080</v>
      </c>
    </row>
    <row r="319" spans="1:7" x14ac:dyDescent="0.25">
      <c r="A319" t="s">
        <v>1555</v>
      </c>
      <c r="B319" t="s">
        <v>1561</v>
      </c>
      <c r="C319" t="s">
        <v>1554</v>
      </c>
      <c r="D319" t="s">
        <v>1553</v>
      </c>
      <c r="E319">
        <v>7</v>
      </c>
      <c r="F319">
        <v>23350</v>
      </c>
      <c r="G319">
        <v>163450</v>
      </c>
    </row>
    <row r="320" spans="1:7" x14ac:dyDescent="0.25">
      <c r="A320" t="s">
        <v>1566</v>
      </c>
      <c r="B320" t="s">
        <v>1567</v>
      </c>
      <c r="C320" t="s">
        <v>1558</v>
      </c>
      <c r="D320" t="s">
        <v>1560</v>
      </c>
      <c r="E320">
        <v>6</v>
      </c>
      <c r="F320">
        <v>22934</v>
      </c>
      <c r="G320">
        <v>137604</v>
      </c>
    </row>
    <row r="321" spans="1:7" x14ac:dyDescent="0.25">
      <c r="A321" t="s">
        <v>1566</v>
      </c>
      <c r="B321" t="s">
        <v>1561</v>
      </c>
      <c r="C321" t="s">
        <v>1565</v>
      </c>
      <c r="D321" t="s">
        <v>1568</v>
      </c>
      <c r="E321">
        <v>10</v>
      </c>
      <c r="F321">
        <v>8794</v>
      </c>
      <c r="G321">
        <v>87940</v>
      </c>
    </row>
    <row r="322" spans="1:7" x14ac:dyDescent="0.25">
      <c r="A322" t="s">
        <v>1566</v>
      </c>
      <c r="B322" t="s">
        <v>1551</v>
      </c>
      <c r="C322" t="s">
        <v>1550</v>
      </c>
      <c r="D322" t="s">
        <v>1560</v>
      </c>
      <c r="E322">
        <v>7</v>
      </c>
      <c r="F322">
        <v>18895</v>
      </c>
      <c r="G322">
        <v>132265</v>
      </c>
    </row>
    <row r="323" spans="1:7" x14ac:dyDescent="0.25">
      <c r="A323" t="s">
        <v>1555</v>
      </c>
      <c r="B323" t="s">
        <v>1551</v>
      </c>
      <c r="C323" t="s">
        <v>1558</v>
      </c>
      <c r="D323" t="s">
        <v>1549</v>
      </c>
      <c r="E323">
        <v>9</v>
      </c>
      <c r="F323">
        <v>4056</v>
      </c>
      <c r="G323">
        <v>36504</v>
      </c>
    </row>
    <row r="324" spans="1:7" x14ac:dyDescent="0.25">
      <c r="A324" t="s">
        <v>1566</v>
      </c>
      <c r="B324" t="s">
        <v>1559</v>
      </c>
      <c r="C324" t="s">
        <v>1550</v>
      </c>
      <c r="D324" t="s">
        <v>1549</v>
      </c>
      <c r="E324">
        <v>9</v>
      </c>
      <c r="F324">
        <v>21918</v>
      </c>
      <c r="G324">
        <v>197262</v>
      </c>
    </row>
    <row r="325" spans="1:7" x14ac:dyDescent="0.25">
      <c r="A325" t="s">
        <v>1552</v>
      </c>
      <c r="B325" t="s">
        <v>1567</v>
      </c>
      <c r="C325" t="s">
        <v>1558</v>
      </c>
      <c r="D325" t="s">
        <v>1568</v>
      </c>
      <c r="E325">
        <v>4</v>
      </c>
      <c r="F325">
        <v>6519</v>
      </c>
      <c r="G325">
        <v>26076</v>
      </c>
    </row>
    <row r="326" spans="1:7" x14ac:dyDescent="0.25">
      <c r="A326" t="s">
        <v>1552</v>
      </c>
      <c r="B326" t="s">
        <v>1561</v>
      </c>
      <c r="C326" t="s">
        <v>1554</v>
      </c>
      <c r="D326" t="s">
        <v>1556</v>
      </c>
      <c r="E326">
        <v>7</v>
      </c>
      <c r="F326">
        <v>14937</v>
      </c>
      <c r="G326">
        <v>104559</v>
      </c>
    </row>
    <row r="327" spans="1:7" x14ac:dyDescent="0.25">
      <c r="A327" t="s">
        <v>1566</v>
      </c>
      <c r="B327" t="s">
        <v>1559</v>
      </c>
      <c r="C327" t="s">
        <v>1550</v>
      </c>
      <c r="D327" t="s">
        <v>1549</v>
      </c>
      <c r="E327">
        <v>1</v>
      </c>
      <c r="F327">
        <v>9000</v>
      </c>
      <c r="G327">
        <v>9000</v>
      </c>
    </row>
    <row r="328" spans="1:7" x14ac:dyDescent="0.25">
      <c r="A328" t="s">
        <v>1555</v>
      </c>
      <c r="B328" t="s">
        <v>1551</v>
      </c>
      <c r="C328" t="s">
        <v>1557</v>
      </c>
      <c r="D328" t="s">
        <v>1556</v>
      </c>
      <c r="E328">
        <v>3</v>
      </c>
      <c r="F328">
        <v>24921</v>
      </c>
      <c r="G328">
        <v>74763</v>
      </c>
    </row>
    <row r="329" spans="1:7" x14ac:dyDescent="0.25">
      <c r="A329" t="s">
        <v>1552</v>
      </c>
      <c r="B329" t="s">
        <v>1567</v>
      </c>
      <c r="C329" t="s">
        <v>1550</v>
      </c>
      <c r="D329" t="s">
        <v>1560</v>
      </c>
      <c r="E329">
        <v>7</v>
      </c>
      <c r="F329">
        <v>28953</v>
      </c>
      <c r="G329">
        <v>202671</v>
      </c>
    </row>
    <row r="330" spans="1:7" x14ac:dyDescent="0.25">
      <c r="A330" t="s">
        <v>1563</v>
      </c>
      <c r="B330" t="s">
        <v>1567</v>
      </c>
      <c r="C330" t="s">
        <v>1550</v>
      </c>
      <c r="D330" t="s">
        <v>1560</v>
      </c>
      <c r="E330">
        <v>4</v>
      </c>
      <c r="F330">
        <v>4407</v>
      </c>
      <c r="G330">
        <v>17628</v>
      </c>
    </row>
    <row r="331" spans="1:7" x14ac:dyDescent="0.25">
      <c r="A331" t="s">
        <v>1564</v>
      </c>
      <c r="B331" t="s">
        <v>1559</v>
      </c>
      <c r="C331" t="s">
        <v>1550</v>
      </c>
      <c r="D331" t="s">
        <v>1568</v>
      </c>
      <c r="E331">
        <v>5</v>
      </c>
      <c r="F331">
        <v>23717</v>
      </c>
      <c r="G331">
        <v>118585</v>
      </c>
    </row>
    <row r="332" spans="1:7" x14ac:dyDescent="0.25">
      <c r="A332" t="s">
        <v>1566</v>
      </c>
      <c r="B332" t="s">
        <v>1561</v>
      </c>
      <c r="C332" t="s">
        <v>1558</v>
      </c>
      <c r="D332" t="s">
        <v>1560</v>
      </c>
      <c r="E332">
        <v>2</v>
      </c>
      <c r="F332">
        <v>10511</v>
      </c>
      <c r="G332">
        <v>21022</v>
      </c>
    </row>
    <row r="333" spans="1:7" x14ac:dyDescent="0.25">
      <c r="A333" t="s">
        <v>1564</v>
      </c>
      <c r="B333" t="s">
        <v>1561</v>
      </c>
      <c r="C333" t="s">
        <v>1558</v>
      </c>
      <c r="D333" t="s">
        <v>1560</v>
      </c>
      <c r="E333">
        <v>2</v>
      </c>
      <c r="F333">
        <v>21221</v>
      </c>
      <c r="G333">
        <v>42442</v>
      </c>
    </row>
    <row r="334" spans="1:7" x14ac:dyDescent="0.25">
      <c r="A334" t="s">
        <v>1552</v>
      </c>
      <c r="B334" t="s">
        <v>1567</v>
      </c>
      <c r="C334" t="s">
        <v>1550</v>
      </c>
      <c r="D334" t="s">
        <v>1549</v>
      </c>
      <c r="E334">
        <v>4</v>
      </c>
      <c r="F334">
        <v>19911</v>
      </c>
      <c r="G334">
        <v>79644</v>
      </c>
    </row>
    <row r="335" spans="1:7" x14ac:dyDescent="0.25">
      <c r="A335" t="s">
        <v>1555</v>
      </c>
      <c r="B335" t="s">
        <v>1567</v>
      </c>
      <c r="C335" t="s">
        <v>1550</v>
      </c>
      <c r="D335" t="s">
        <v>1556</v>
      </c>
      <c r="E335">
        <v>8</v>
      </c>
      <c r="F335">
        <v>21628</v>
      </c>
      <c r="G335">
        <v>173024</v>
      </c>
    </row>
    <row r="336" spans="1:7" x14ac:dyDescent="0.25">
      <c r="A336" t="s">
        <v>1552</v>
      </c>
      <c r="B336" t="s">
        <v>1551</v>
      </c>
      <c r="C336" t="s">
        <v>1550</v>
      </c>
      <c r="D336" t="s">
        <v>1568</v>
      </c>
      <c r="E336">
        <v>9</v>
      </c>
      <c r="F336">
        <v>16296</v>
      </c>
      <c r="G336">
        <v>146664</v>
      </c>
    </row>
    <row r="337" spans="1:7" x14ac:dyDescent="0.25">
      <c r="A337" t="s">
        <v>1566</v>
      </c>
      <c r="B337" t="s">
        <v>1551</v>
      </c>
      <c r="C337" t="s">
        <v>1558</v>
      </c>
      <c r="D337" t="s">
        <v>1553</v>
      </c>
      <c r="E337">
        <v>1</v>
      </c>
      <c r="F337">
        <v>17713</v>
      </c>
      <c r="G337">
        <v>17713</v>
      </c>
    </row>
    <row r="338" spans="1:7" x14ac:dyDescent="0.25">
      <c r="A338" t="s">
        <v>1563</v>
      </c>
      <c r="B338" t="s">
        <v>1559</v>
      </c>
      <c r="C338" t="s">
        <v>1558</v>
      </c>
      <c r="D338" t="s">
        <v>1549</v>
      </c>
      <c r="E338">
        <v>10</v>
      </c>
      <c r="F338">
        <v>19823</v>
      </c>
      <c r="G338">
        <v>198230</v>
      </c>
    </row>
    <row r="339" spans="1:7" x14ac:dyDescent="0.25">
      <c r="A339" t="s">
        <v>1555</v>
      </c>
      <c r="B339" t="s">
        <v>1561</v>
      </c>
      <c r="C339" t="s">
        <v>1558</v>
      </c>
      <c r="D339" t="s">
        <v>1549</v>
      </c>
      <c r="E339">
        <v>6</v>
      </c>
      <c r="F339">
        <v>24759</v>
      </c>
      <c r="G339">
        <v>148554</v>
      </c>
    </row>
    <row r="340" spans="1:7" x14ac:dyDescent="0.25">
      <c r="A340" t="s">
        <v>1555</v>
      </c>
      <c r="B340" t="s">
        <v>1567</v>
      </c>
      <c r="C340" t="s">
        <v>1554</v>
      </c>
      <c r="D340" t="s">
        <v>1556</v>
      </c>
      <c r="E340">
        <v>10</v>
      </c>
      <c r="F340">
        <v>19673</v>
      </c>
      <c r="G340">
        <v>196730</v>
      </c>
    </row>
    <row r="341" spans="1:7" x14ac:dyDescent="0.25">
      <c r="A341" t="s">
        <v>1566</v>
      </c>
      <c r="B341" t="s">
        <v>1561</v>
      </c>
      <c r="C341" t="s">
        <v>1558</v>
      </c>
      <c r="D341" t="s">
        <v>1568</v>
      </c>
      <c r="E341">
        <v>9</v>
      </c>
      <c r="F341">
        <v>23814</v>
      </c>
      <c r="G341">
        <v>214326</v>
      </c>
    </row>
    <row r="342" spans="1:7" x14ac:dyDescent="0.25">
      <c r="A342" t="s">
        <v>1566</v>
      </c>
      <c r="B342" t="s">
        <v>1551</v>
      </c>
      <c r="C342" t="s">
        <v>1565</v>
      </c>
      <c r="D342" t="s">
        <v>1549</v>
      </c>
      <c r="E342">
        <v>10</v>
      </c>
      <c r="F342">
        <v>12436</v>
      </c>
      <c r="G342">
        <v>124360</v>
      </c>
    </row>
    <row r="343" spans="1:7" x14ac:dyDescent="0.25">
      <c r="A343" t="s">
        <v>1563</v>
      </c>
      <c r="B343" t="s">
        <v>1559</v>
      </c>
      <c r="C343" t="s">
        <v>1557</v>
      </c>
      <c r="D343" t="s">
        <v>1568</v>
      </c>
      <c r="E343">
        <v>5</v>
      </c>
      <c r="F343">
        <v>17262</v>
      </c>
      <c r="G343">
        <v>86310</v>
      </c>
    </row>
    <row r="344" spans="1:7" x14ac:dyDescent="0.25">
      <c r="A344" t="s">
        <v>1555</v>
      </c>
      <c r="B344" t="s">
        <v>1559</v>
      </c>
      <c r="C344" t="s">
        <v>1557</v>
      </c>
      <c r="D344" t="s">
        <v>1553</v>
      </c>
      <c r="E344">
        <v>10</v>
      </c>
      <c r="F344">
        <v>17654</v>
      </c>
      <c r="G344">
        <v>176540</v>
      </c>
    </row>
    <row r="345" spans="1:7" x14ac:dyDescent="0.25">
      <c r="A345" t="s">
        <v>1564</v>
      </c>
      <c r="B345" t="s">
        <v>1561</v>
      </c>
      <c r="C345" t="s">
        <v>1554</v>
      </c>
      <c r="D345" t="s">
        <v>1556</v>
      </c>
      <c r="E345">
        <v>2</v>
      </c>
      <c r="F345">
        <v>17044</v>
      </c>
      <c r="G345">
        <v>34088</v>
      </c>
    </row>
    <row r="346" spans="1:7" x14ac:dyDescent="0.25">
      <c r="A346" t="s">
        <v>1564</v>
      </c>
      <c r="B346" t="s">
        <v>1567</v>
      </c>
      <c r="C346" t="s">
        <v>1558</v>
      </c>
      <c r="D346" t="s">
        <v>1556</v>
      </c>
      <c r="E346">
        <v>10</v>
      </c>
      <c r="F346">
        <v>28324</v>
      </c>
      <c r="G346">
        <v>283240</v>
      </c>
    </row>
    <row r="347" spans="1:7" x14ac:dyDescent="0.25">
      <c r="A347" t="s">
        <v>1563</v>
      </c>
      <c r="B347" t="s">
        <v>1559</v>
      </c>
      <c r="C347" t="s">
        <v>1557</v>
      </c>
      <c r="D347" t="s">
        <v>1562</v>
      </c>
      <c r="E347">
        <v>10</v>
      </c>
      <c r="F347">
        <v>17525</v>
      </c>
      <c r="G347">
        <v>175250</v>
      </c>
    </row>
    <row r="348" spans="1:7" x14ac:dyDescent="0.25">
      <c r="A348" t="s">
        <v>1552</v>
      </c>
      <c r="B348" t="s">
        <v>1559</v>
      </c>
      <c r="C348" t="s">
        <v>1550</v>
      </c>
      <c r="D348" t="s">
        <v>1556</v>
      </c>
      <c r="E348">
        <v>8</v>
      </c>
      <c r="F348">
        <v>13071</v>
      </c>
      <c r="G348">
        <v>104568</v>
      </c>
    </row>
    <row r="349" spans="1:7" x14ac:dyDescent="0.25">
      <c r="A349" t="s">
        <v>1566</v>
      </c>
      <c r="B349" t="s">
        <v>1567</v>
      </c>
      <c r="C349" t="s">
        <v>1554</v>
      </c>
      <c r="D349" t="s">
        <v>1556</v>
      </c>
      <c r="E349">
        <v>10</v>
      </c>
      <c r="F349">
        <v>18611</v>
      </c>
      <c r="G349">
        <v>186110</v>
      </c>
    </row>
    <row r="350" spans="1:7" x14ac:dyDescent="0.25">
      <c r="A350" t="s">
        <v>1563</v>
      </c>
      <c r="B350" t="s">
        <v>1561</v>
      </c>
      <c r="C350" t="s">
        <v>1554</v>
      </c>
      <c r="D350" t="s">
        <v>1560</v>
      </c>
      <c r="E350">
        <v>8</v>
      </c>
      <c r="F350">
        <v>20994</v>
      </c>
      <c r="G350">
        <v>167952</v>
      </c>
    </row>
    <row r="351" spans="1:7" x14ac:dyDescent="0.25">
      <c r="A351" t="s">
        <v>1564</v>
      </c>
      <c r="B351" t="s">
        <v>1551</v>
      </c>
      <c r="C351" t="s">
        <v>1557</v>
      </c>
      <c r="D351" t="s">
        <v>1562</v>
      </c>
      <c r="E351">
        <v>5</v>
      </c>
      <c r="F351">
        <v>26749</v>
      </c>
      <c r="G351">
        <v>133745</v>
      </c>
    </row>
    <row r="352" spans="1:7" x14ac:dyDescent="0.25">
      <c r="A352" t="s">
        <v>1563</v>
      </c>
      <c r="B352" t="s">
        <v>1559</v>
      </c>
      <c r="C352" t="s">
        <v>1550</v>
      </c>
      <c r="D352" t="s">
        <v>1556</v>
      </c>
      <c r="E352">
        <v>6</v>
      </c>
      <c r="F352">
        <v>15968</v>
      </c>
      <c r="G352">
        <v>95808</v>
      </c>
    </row>
    <row r="353" spans="1:7" x14ac:dyDescent="0.25">
      <c r="A353" t="s">
        <v>1555</v>
      </c>
      <c r="B353" t="s">
        <v>1561</v>
      </c>
      <c r="C353" t="s">
        <v>1554</v>
      </c>
      <c r="D353" t="s">
        <v>1568</v>
      </c>
      <c r="E353">
        <v>6</v>
      </c>
      <c r="F353">
        <v>13695</v>
      </c>
      <c r="G353">
        <v>82170</v>
      </c>
    </row>
    <row r="354" spans="1:7" x14ac:dyDescent="0.25">
      <c r="A354" t="s">
        <v>1552</v>
      </c>
      <c r="B354" t="s">
        <v>1551</v>
      </c>
      <c r="C354" t="s">
        <v>1558</v>
      </c>
      <c r="D354" t="s">
        <v>1562</v>
      </c>
      <c r="E354">
        <v>6</v>
      </c>
      <c r="F354">
        <v>22607</v>
      </c>
      <c r="G354">
        <v>135642</v>
      </c>
    </row>
    <row r="355" spans="1:7" x14ac:dyDescent="0.25">
      <c r="A355" t="s">
        <v>1564</v>
      </c>
      <c r="B355" t="s">
        <v>1551</v>
      </c>
      <c r="C355" t="s">
        <v>1558</v>
      </c>
      <c r="D355" t="s">
        <v>1562</v>
      </c>
      <c r="E355">
        <v>7</v>
      </c>
      <c r="F355">
        <v>10081</v>
      </c>
      <c r="G355">
        <v>70567</v>
      </c>
    </row>
    <row r="356" spans="1:7" x14ac:dyDescent="0.25">
      <c r="A356" t="s">
        <v>1552</v>
      </c>
      <c r="B356" t="s">
        <v>1551</v>
      </c>
      <c r="C356" t="s">
        <v>1550</v>
      </c>
      <c r="D356" t="s">
        <v>1560</v>
      </c>
      <c r="E356">
        <v>10</v>
      </c>
      <c r="F356">
        <v>21631</v>
      </c>
      <c r="G356">
        <v>216310</v>
      </c>
    </row>
    <row r="357" spans="1:7" x14ac:dyDescent="0.25">
      <c r="A357" t="s">
        <v>1564</v>
      </c>
      <c r="B357" t="s">
        <v>1551</v>
      </c>
      <c r="C357" t="s">
        <v>1557</v>
      </c>
      <c r="D357" t="s">
        <v>1553</v>
      </c>
      <c r="E357">
        <v>4</v>
      </c>
      <c r="F357">
        <v>5552</v>
      </c>
      <c r="G357">
        <v>22208</v>
      </c>
    </row>
    <row r="358" spans="1:7" x14ac:dyDescent="0.25">
      <c r="A358" t="s">
        <v>1564</v>
      </c>
      <c r="B358" t="s">
        <v>1561</v>
      </c>
      <c r="C358" t="s">
        <v>1565</v>
      </c>
      <c r="D358" t="s">
        <v>1549</v>
      </c>
      <c r="E358">
        <v>7</v>
      </c>
      <c r="F358">
        <v>1756</v>
      </c>
      <c r="G358">
        <v>12292</v>
      </c>
    </row>
    <row r="359" spans="1:7" x14ac:dyDescent="0.25">
      <c r="A359" t="s">
        <v>1552</v>
      </c>
      <c r="B359" t="s">
        <v>1561</v>
      </c>
      <c r="C359" t="s">
        <v>1554</v>
      </c>
      <c r="D359" t="s">
        <v>1549</v>
      </c>
      <c r="E359">
        <v>3</v>
      </c>
      <c r="F359">
        <v>1632</v>
      </c>
      <c r="G359">
        <v>4896</v>
      </c>
    </row>
    <row r="360" spans="1:7" x14ac:dyDescent="0.25">
      <c r="A360" t="s">
        <v>1552</v>
      </c>
      <c r="B360" t="s">
        <v>1567</v>
      </c>
      <c r="C360" t="s">
        <v>1558</v>
      </c>
      <c r="D360" t="s">
        <v>1568</v>
      </c>
      <c r="E360">
        <v>9</v>
      </c>
      <c r="F360">
        <v>6009</v>
      </c>
      <c r="G360">
        <v>54081</v>
      </c>
    </row>
    <row r="361" spans="1:7" x14ac:dyDescent="0.25">
      <c r="A361" t="s">
        <v>1563</v>
      </c>
      <c r="B361" t="s">
        <v>1561</v>
      </c>
      <c r="C361" t="s">
        <v>1557</v>
      </c>
      <c r="D361" t="s">
        <v>1560</v>
      </c>
      <c r="E361">
        <v>9</v>
      </c>
      <c r="F361">
        <v>27798</v>
      </c>
      <c r="G361">
        <v>250182</v>
      </c>
    </row>
    <row r="362" spans="1:7" x14ac:dyDescent="0.25">
      <c r="A362" t="s">
        <v>1552</v>
      </c>
      <c r="B362" t="s">
        <v>1561</v>
      </c>
      <c r="C362" t="s">
        <v>1557</v>
      </c>
      <c r="D362" t="s">
        <v>1553</v>
      </c>
      <c r="E362">
        <v>6</v>
      </c>
      <c r="F362">
        <v>22062</v>
      </c>
      <c r="G362">
        <v>132372</v>
      </c>
    </row>
    <row r="363" spans="1:7" x14ac:dyDescent="0.25">
      <c r="A363" t="s">
        <v>1564</v>
      </c>
      <c r="B363" t="s">
        <v>1551</v>
      </c>
      <c r="C363" t="s">
        <v>1565</v>
      </c>
      <c r="D363" t="s">
        <v>1560</v>
      </c>
      <c r="E363">
        <v>8</v>
      </c>
      <c r="F363">
        <v>15119</v>
      </c>
      <c r="G363">
        <v>120952</v>
      </c>
    </row>
    <row r="364" spans="1:7" x14ac:dyDescent="0.25">
      <c r="A364" t="s">
        <v>1566</v>
      </c>
      <c r="B364" t="s">
        <v>1567</v>
      </c>
      <c r="C364" t="s">
        <v>1558</v>
      </c>
      <c r="D364" t="s">
        <v>1560</v>
      </c>
      <c r="E364">
        <v>10</v>
      </c>
      <c r="F364">
        <v>17255</v>
      </c>
      <c r="G364">
        <v>172550</v>
      </c>
    </row>
    <row r="365" spans="1:7" x14ac:dyDescent="0.25">
      <c r="A365" t="s">
        <v>1566</v>
      </c>
      <c r="B365" t="s">
        <v>1559</v>
      </c>
      <c r="C365" t="s">
        <v>1554</v>
      </c>
      <c r="D365" t="s">
        <v>1556</v>
      </c>
      <c r="E365">
        <v>5</v>
      </c>
      <c r="F365">
        <v>15756</v>
      </c>
      <c r="G365">
        <v>78780</v>
      </c>
    </row>
    <row r="366" spans="1:7" x14ac:dyDescent="0.25">
      <c r="A366" t="s">
        <v>1564</v>
      </c>
      <c r="B366" t="s">
        <v>1561</v>
      </c>
      <c r="C366" t="s">
        <v>1558</v>
      </c>
      <c r="D366" t="s">
        <v>1560</v>
      </c>
      <c r="E366">
        <v>6</v>
      </c>
      <c r="F366">
        <v>27819</v>
      </c>
      <c r="G366">
        <v>166914</v>
      </c>
    </row>
    <row r="367" spans="1:7" x14ac:dyDescent="0.25">
      <c r="A367" t="s">
        <v>1566</v>
      </c>
      <c r="B367" t="s">
        <v>1567</v>
      </c>
      <c r="C367" t="s">
        <v>1557</v>
      </c>
      <c r="D367" t="s">
        <v>1553</v>
      </c>
      <c r="E367">
        <v>3</v>
      </c>
      <c r="F367">
        <v>17329</v>
      </c>
      <c r="G367">
        <v>51987</v>
      </c>
    </row>
    <row r="368" spans="1:7" x14ac:dyDescent="0.25">
      <c r="A368" t="s">
        <v>1555</v>
      </c>
      <c r="B368" t="s">
        <v>1551</v>
      </c>
      <c r="C368" t="s">
        <v>1550</v>
      </c>
      <c r="D368" t="s">
        <v>1553</v>
      </c>
      <c r="E368">
        <v>4</v>
      </c>
      <c r="F368">
        <v>14778</v>
      </c>
      <c r="G368">
        <v>59112</v>
      </c>
    </row>
    <row r="369" spans="1:7" x14ac:dyDescent="0.25">
      <c r="A369" t="s">
        <v>1563</v>
      </c>
      <c r="B369" t="s">
        <v>1559</v>
      </c>
      <c r="C369" t="s">
        <v>1554</v>
      </c>
      <c r="D369" t="s">
        <v>1560</v>
      </c>
      <c r="E369">
        <v>9</v>
      </c>
      <c r="F369">
        <v>22102</v>
      </c>
      <c r="G369">
        <v>198918</v>
      </c>
    </row>
    <row r="370" spans="1:7" x14ac:dyDescent="0.25">
      <c r="A370" t="s">
        <v>1552</v>
      </c>
      <c r="B370" t="s">
        <v>1551</v>
      </c>
      <c r="C370" t="s">
        <v>1550</v>
      </c>
      <c r="D370" t="s">
        <v>1553</v>
      </c>
      <c r="E370">
        <v>6</v>
      </c>
      <c r="F370">
        <v>25677</v>
      </c>
      <c r="G370">
        <v>154062</v>
      </c>
    </row>
    <row r="371" spans="1:7" x14ac:dyDescent="0.25">
      <c r="A371" t="s">
        <v>1552</v>
      </c>
      <c r="B371" t="s">
        <v>1559</v>
      </c>
      <c r="C371" t="s">
        <v>1557</v>
      </c>
      <c r="D371" t="s">
        <v>1568</v>
      </c>
      <c r="E371">
        <v>2</v>
      </c>
      <c r="F371">
        <v>17270</v>
      </c>
      <c r="G371">
        <v>34540</v>
      </c>
    </row>
    <row r="372" spans="1:7" x14ac:dyDescent="0.25">
      <c r="A372" t="s">
        <v>1555</v>
      </c>
      <c r="B372" t="s">
        <v>1559</v>
      </c>
      <c r="C372" t="s">
        <v>1558</v>
      </c>
      <c r="D372" t="s">
        <v>1568</v>
      </c>
      <c r="E372">
        <v>10</v>
      </c>
      <c r="F372">
        <v>4414</v>
      </c>
      <c r="G372">
        <v>44140</v>
      </c>
    </row>
    <row r="373" spans="1:7" x14ac:dyDescent="0.25">
      <c r="A373" t="s">
        <v>1563</v>
      </c>
      <c r="B373" t="s">
        <v>1567</v>
      </c>
      <c r="C373" t="s">
        <v>1550</v>
      </c>
      <c r="D373" t="s">
        <v>1568</v>
      </c>
      <c r="E373">
        <v>8</v>
      </c>
      <c r="F373">
        <v>8793</v>
      </c>
      <c r="G373">
        <v>70344</v>
      </c>
    </row>
    <row r="374" spans="1:7" x14ac:dyDescent="0.25">
      <c r="A374" t="s">
        <v>1552</v>
      </c>
      <c r="B374" t="s">
        <v>1561</v>
      </c>
      <c r="C374" t="s">
        <v>1550</v>
      </c>
      <c r="D374" t="s">
        <v>1553</v>
      </c>
      <c r="E374">
        <v>2</v>
      </c>
      <c r="F374">
        <v>5281</v>
      </c>
      <c r="G374">
        <v>10562</v>
      </c>
    </row>
    <row r="375" spans="1:7" x14ac:dyDescent="0.25">
      <c r="A375" t="s">
        <v>1564</v>
      </c>
      <c r="B375" t="s">
        <v>1561</v>
      </c>
      <c r="C375" t="s">
        <v>1565</v>
      </c>
      <c r="D375" t="s">
        <v>1562</v>
      </c>
      <c r="E375">
        <v>7</v>
      </c>
      <c r="F375">
        <v>8366</v>
      </c>
      <c r="G375">
        <v>58562</v>
      </c>
    </row>
    <row r="376" spans="1:7" x14ac:dyDescent="0.25">
      <c r="A376" t="s">
        <v>1555</v>
      </c>
      <c r="B376" t="s">
        <v>1561</v>
      </c>
      <c r="C376" t="s">
        <v>1554</v>
      </c>
      <c r="D376" t="s">
        <v>1553</v>
      </c>
      <c r="E376">
        <v>7</v>
      </c>
      <c r="F376">
        <v>12268</v>
      </c>
      <c r="G376">
        <v>85876</v>
      </c>
    </row>
    <row r="377" spans="1:7" x14ac:dyDescent="0.25">
      <c r="A377" t="s">
        <v>1552</v>
      </c>
      <c r="B377" t="s">
        <v>1551</v>
      </c>
      <c r="C377" t="s">
        <v>1550</v>
      </c>
      <c r="D377" t="s">
        <v>1553</v>
      </c>
      <c r="E377">
        <v>9</v>
      </c>
      <c r="F377">
        <v>23467</v>
      </c>
      <c r="G377">
        <v>211203</v>
      </c>
    </row>
    <row r="378" spans="1:7" x14ac:dyDescent="0.25">
      <c r="A378" t="s">
        <v>1564</v>
      </c>
      <c r="B378" t="s">
        <v>1551</v>
      </c>
      <c r="C378" t="s">
        <v>1550</v>
      </c>
      <c r="D378" t="s">
        <v>1556</v>
      </c>
      <c r="E378">
        <v>8</v>
      </c>
      <c r="F378">
        <v>19347</v>
      </c>
      <c r="G378">
        <v>154776</v>
      </c>
    </row>
    <row r="379" spans="1:7" x14ac:dyDescent="0.25">
      <c r="A379" t="s">
        <v>1563</v>
      </c>
      <c r="B379" t="s">
        <v>1551</v>
      </c>
      <c r="C379" t="s">
        <v>1554</v>
      </c>
      <c r="D379" t="s">
        <v>1568</v>
      </c>
      <c r="E379">
        <v>8</v>
      </c>
      <c r="F379">
        <v>18916</v>
      </c>
      <c r="G379">
        <v>151328</v>
      </c>
    </row>
    <row r="380" spans="1:7" x14ac:dyDescent="0.25">
      <c r="A380" t="s">
        <v>1555</v>
      </c>
      <c r="B380" t="s">
        <v>1551</v>
      </c>
      <c r="C380" t="s">
        <v>1554</v>
      </c>
      <c r="D380" t="s">
        <v>1560</v>
      </c>
      <c r="E380">
        <v>8</v>
      </c>
      <c r="F380">
        <v>10992</v>
      </c>
      <c r="G380">
        <v>87936</v>
      </c>
    </row>
    <row r="381" spans="1:7" x14ac:dyDescent="0.25">
      <c r="A381" t="s">
        <v>1564</v>
      </c>
      <c r="B381" t="s">
        <v>1551</v>
      </c>
      <c r="C381" t="s">
        <v>1565</v>
      </c>
      <c r="D381" t="s">
        <v>1562</v>
      </c>
      <c r="E381">
        <v>9</v>
      </c>
      <c r="F381">
        <v>1908</v>
      </c>
      <c r="G381">
        <v>17172</v>
      </c>
    </row>
    <row r="382" spans="1:7" x14ac:dyDescent="0.25">
      <c r="A382" t="s">
        <v>1566</v>
      </c>
      <c r="B382" t="s">
        <v>1567</v>
      </c>
      <c r="C382" t="s">
        <v>1558</v>
      </c>
      <c r="D382" t="s">
        <v>1549</v>
      </c>
      <c r="E382">
        <v>7</v>
      </c>
      <c r="F382">
        <v>23316</v>
      </c>
      <c r="G382">
        <v>163212</v>
      </c>
    </row>
    <row r="383" spans="1:7" x14ac:dyDescent="0.25">
      <c r="A383" t="s">
        <v>1563</v>
      </c>
      <c r="B383" t="s">
        <v>1561</v>
      </c>
      <c r="C383" t="s">
        <v>1558</v>
      </c>
      <c r="D383" t="s">
        <v>1562</v>
      </c>
      <c r="E383">
        <v>7</v>
      </c>
      <c r="F383">
        <v>15857</v>
      </c>
      <c r="G383">
        <v>110999</v>
      </c>
    </row>
    <row r="384" spans="1:7" x14ac:dyDescent="0.25">
      <c r="A384" t="s">
        <v>1552</v>
      </c>
      <c r="B384" t="s">
        <v>1567</v>
      </c>
      <c r="C384" t="s">
        <v>1557</v>
      </c>
      <c r="D384" t="s">
        <v>1568</v>
      </c>
      <c r="E384">
        <v>5</v>
      </c>
      <c r="F384">
        <v>4049</v>
      </c>
      <c r="G384">
        <v>20245</v>
      </c>
    </row>
    <row r="385" spans="1:7" x14ac:dyDescent="0.25">
      <c r="A385" t="s">
        <v>1563</v>
      </c>
      <c r="B385" t="s">
        <v>1551</v>
      </c>
      <c r="C385" t="s">
        <v>1558</v>
      </c>
      <c r="D385" t="s">
        <v>1556</v>
      </c>
      <c r="E385">
        <v>6</v>
      </c>
      <c r="F385">
        <v>15100</v>
      </c>
      <c r="G385">
        <v>90600</v>
      </c>
    </row>
    <row r="386" spans="1:7" x14ac:dyDescent="0.25">
      <c r="A386" t="s">
        <v>1555</v>
      </c>
      <c r="B386" t="s">
        <v>1551</v>
      </c>
      <c r="C386" t="s">
        <v>1557</v>
      </c>
      <c r="D386" t="s">
        <v>1568</v>
      </c>
      <c r="E386">
        <v>3</v>
      </c>
      <c r="F386">
        <v>17531</v>
      </c>
      <c r="G386">
        <v>52593</v>
      </c>
    </row>
    <row r="387" spans="1:7" x14ac:dyDescent="0.25">
      <c r="A387" t="s">
        <v>1566</v>
      </c>
      <c r="B387" t="s">
        <v>1559</v>
      </c>
      <c r="C387" t="s">
        <v>1557</v>
      </c>
      <c r="D387" t="s">
        <v>1556</v>
      </c>
      <c r="E387">
        <v>1</v>
      </c>
      <c r="F387">
        <v>25476</v>
      </c>
      <c r="G387">
        <v>25476</v>
      </c>
    </row>
    <row r="388" spans="1:7" x14ac:dyDescent="0.25">
      <c r="A388" t="s">
        <v>1566</v>
      </c>
      <c r="B388" t="s">
        <v>1559</v>
      </c>
      <c r="C388" t="s">
        <v>1565</v>
      </c>
      <c r="D388" t="s">
        <v>1562</v>
      </c>
      <c r="E388">
        <v>8</v>
      </c>
      <c r="F388">
        <v>5771</v>
      </c>
      <c r="G388">
        <v>46168</v>
      </c>
    </row>
    <row r="389" spans="1:7" x14ac:dyDescent="0.25">
      <c r="A389" t="s">
        <v>1555</v>
      </c>
      <c r="B389" t="s">
        <v>1561</v>
      </c>
      <c r="C389" t="s">
        <v>1565</v>
      </c>
      <c r="D389" t="s">
        <v>1553</v>
      </c>
      <c r="E389">
        <v>9</v>
      </c>
      <c r="F389">
        <v>1649</v>
      </c>
      <c r="G389">
        <v>14841</v>
      </c>
    </row>
    <row r="390" spans="1:7" x14ac:dyDescent="0.25">
      <c r="A390" t="s">
        <v>1555</v>
      </c>
      <c r="B390" t="s">
        <v>1567</v>
      </c>
      <c r="C390" t="s">
        <v>1565</v>
      </c>
      <c r="D390" t="s">
        <v>1562</v>
      </c>
      <c r="E390">
        <v>8</v>
      </c>
      <c r="F390">
        <v>25866</v>
      </c>
      <c r="G390">
        <v>206928</v>
      </c>
    </row>
    <row r="391" spans="1:7" x14ac:dyDescent="0.25">
      <c r="A391" t="s">
        <v>1552</v>
      </c>
      <c r="B391" t="s">
        <v>1551</v>
      </c>
      <c r="C391" t="s">
        <v>1557</v>
      </c>
      <c r="D391" t="s">
        <v>1556</v>
      </c>
      <c r="E391">
        <v>4</v>
      </c>
      <c r="F391">
        <v>21389</v>
      </c>
      <c r="G391">
        <v>85556</v>
      </c>
    </row>
    <row r="392" spans="1:7" x14ac:dyDescent="0.25">
      <c r="A392" t="s">
        <v>1555</v>
      </c>
      <c r="B392" t="s">
        <v>1559</v>
      </c>
      <c r="C392" t="s">
        <v>1565</v>
      </c>
      <c r="D392" t="s">
        <v>1553</v>
      </c>
      <c r="E392">
        <v>4</v>
      </c>
      <c r="F392">
        <v>12517</v>
      </c>
      <c r="G392">
        <v>50068</v>
      </c>
    </row>
    <row r="393" spans="1:7" x14ac:dyDescent="0.25">
      <c r="A393" t="s">
        <v>1552</v>
      </c>
      <c r="B393" t="s">
        <v>1567</v>
      </c>
      <c r="C393" t="s">
        <v>1550</v>
      </c>
      <c r="D393" t="s">
        <v>1553</v>
      </c>
      <c r="E393">
        <v>5</v>
      </c>
      <c r="F393">
        <v>21099</v>
      </c>
      <c r="G393">
        <v>105495</v>
      </c>
    </row>
    <row r="394" spans="1:7" x14ac:dyDescent="0.25">
      <c r="A394" t="s">
        <v>1555</v>
      </c>
      <c r="B394" t="s">
        <v>1551</v>
      </c>
      <c r="C394" t="s">
        <v>1557</v>
      </c>
      <c r="D394" t="s">
        <v>1560</v>
      </c>
      <c r="E394">
        <v>10</v>
      </c>
      <c r="F394">
        <v>22312</v>
      </c>
      <c r="G394">
        <v>223120</v>
      </c>
    </row>
    <row r="395" spans="1:7" x14ac:dyDescent="0.25">
      <c r="A395" t="s">
        <v>1564</v>
      </c>
      <c r="B395" t="s">
        <v>1567</v>
      </c>
      <c r="C395" t="s">
        <v>1550</v>
      </c>
      <c r="D395" t="s">
        <v>1556</v>
      </c>
      <c r="E395">
        <v>7</v>
      </c>
      <c r="F395">
        <v>1135</v>
      </c>
      <c r="G395">
        <v>7945</v>
      </c>
    </row>
    <row r="396" spans="1:7" x14ac:dyDescent="0.25">
      <c r="A396" t="s">
        <v>1563</v>
      </c>
      <c r="B396" t="s">
        <v>1567</v>
      </c>
      <c r="C396" t="s">
        <v>1557</v>
      </c>
      <c r="D396" t="s">
        <v>1556</v>
      </c>
      <c r="E396">
        <v>1</v>
      </c>
      <c r="F396">
        <v>29941</v>
      </c>
      <c r="G396">
        <v>29941</v>
      </c>
    </row>
    <row r="397" spans="1:7" x14ac:dyDescent="0.25">
      <c r="A397" t="s">
        <v>1563</v>
      </c>
      <c r="B397" t="s">
        <v>1559</v>
      </c>
      <c r="C397" t="s">
        <v>1565</v>
      </c>
      <c r="D397" t="s">
        <v>1553</v>
      </c>
      <c r="E397">
        <v>10</v>
      </c>
      <c r="F397">
        <v>22642</v>
      </c>
      <c r="G397">
        <v>226420</v>
      </c>
    </row>
    <row r="398" spans="1:7" x14ac:dyDescent="0.25">
      <c r="A398" t="s">
        <v>1564</v>
      </c>
      <c r="B398" t="s">
        <v>1561</v>
      </c>
      <c r="C398" t="s">
        <v>1550</v>
      </c>
      <c r="D398" t="s">
        <v>1560</v>
      </c>
      <c r="E398">
        <v>4</v>
      </c>
      <c r="F398">
        <v>6639</v>
      </c>
      <c r="G398">
        <v>26556</v>
      </c>
    </row>
    <row r="399" spans="1:7" x14ac:dyDescent="0.25">
      <c r="A399" t="s">
        <v>1563</v>
      </c>
      <c r="B399" t="s">
        <v>1559</v>
      </c>
      <c r="C399" t="s">
        <v>1557</v>
      </c>
      <c r="D399" t="s">
        <v>1560</v>
      </c>
      <c r="E399">
        <v>1</v>
      </c>
      <c r="F399">
        <v>9206</v>
      </c>
      <c r="G399">
        <v>9206</v>
      </c>
    </row>
    <row r="400" spans="1:7" x14ac:dyDescent="0.25">
      <c r="A400" t="s">
        <v>1563</v>
      </c>
      <c r="B400" t="s">
        <v>1561</v>
      </c>
      <c r="C400" t="s">
        <v>1565</v>
      </c>
      <c r="D400" t="s">
        <v>1562</v>
      </c>
      <c r="E400">
        <v>5</v>
      </c>
      <c r="F400">
        <v>21041</v>
      </c>
      <c r="G400">
        <v>105205</v>
      </c>
    </row>
    <row r="401" spans="1:7" x14ac:dyDescent="0.25">
      <c r="A401" t="s">
        <v>1555</v>
      </c>
      <c r="B401" t="s">
        <v>1559</v>
      </c>
      <c r="C401" t="s">
        <v>1565</v>
      </c>
      <c r="D401" t="s">
        <v>1560</v>
      </c>
      <c r="E401">
        <v>10</v>
      </c>
      <c r="F401">
        <v>10683</v>
      </c>
      <c r="G401">
        <v>106830</v>
      </c>
    </row>
    <row r="402" spans="1:7" x14ac:dyDescent="0.25">
      <c r="A402" t="s">
        <v>1566</v>
      </c>
      <c r="B402" t="s">
        <v>1567</v>
      </c>
      <c r="C402" t="s">
        <v>1558</v>
      </c>
      <c r="D402" t="s">
        <v>1549</v>
      </c>
      <c r="E402">
        <v>4</v>
      </c>
      <c r="F402">
        <v>24832</v>
      </c>
      <c r="G402">
        <v>99328</v>
      </c>
    </row>
    <row r="403" spans="1:7" x14ac:dyDescent="0.25">
      <c r="A403" t="s">
        <v>1564</v>
      </c>
      <c r="B403" t="s">
        <v>1561</v>
      </c>
      <c r="C403" t="s">
        <v>1550</v>
      </c>
      <c r="D403" t="s">
        <v>1553</v>
      </c>
      <c r="E403">
        <v>7</v>
      </c>
      <c r="F403">
        <v>15524</v>
      </c>
      <c r="G403">
        <v>108668</v>
      </c>
    </row>
    <row r="404" spans="1:7" x14ac:dyDescent="0.25">
      <c r="A404" t="s">
        <v>1555</v>
      </c>
      <c r="B404" t="s">
        <v>1567</v>
      </c>
      <c r="C404" t="s">
        <v>1554</v>
      </c>
      <c r="D404" t="s">
        <v>1562</v>
      </c>
      <c r="E404">
        <v>5</v>
      </c>
      <c r="F404">
        <v>17455</v>
      </c>
      <c r="G404">
        <v>87275</v>
      </c>
    </row>
    <row r="405" spans="1:7" x14ac:dyDescent="0.25">
      <c r="A405" t="s">
        <v>1555</v>
      </c>
      <c r="B405" t="s">
        <v>1551</v>
      </c>
      <c r="C405" t="s">
        <v>1558</v>
      </c>
      <c r="D405" t="s">
        <v>1560</v>
      </c>
      <c r="E405">
        <v>2</v>
      </c>
      <c r="F405">
        <v>6475</v>
      </c>
      <c r="G405">
        <v>12950</v>
      </c>
    </row>
    <row r="406" spans="1:7" x14ac:dyDescent="0.25">
      <c r="A406" t="s">
        <v>1552</v>
      </c>
      <c r="B406" t="s">
        <v>1567</v>
      </c>
      <c r="C406" t="s">
        <v>1550</v>
      </c>
      <c r="D406" t="s">
        <v>1553</v>
      </c>
      <c r="E406">
        <v>10</v>
      </c>
      <c r="F406">
        <v>20448</v>
      </c>
      <c r="G406">
        <v>204480</v>
      </c>
    </row>
    <row r="407" spans="1:7" x14ac:dyDescent="0.25">
      <c r="A407" t="s">
        <v>1563</v>
      </c>
      <c r="B407" t="s">
        <v>1567</v>
      </c>
      <c r="C407" t="s">
        <v>1550</v>
      </c>
      <c r="D407" t="s">
        <v>1568</v>
      </c>
      <c r="E407">
        <v>7</v>
      </c>
      <c r="F407">
        <v>20448</v>
      </c>
      <c r="G407">
        <v>143136</v>
      </c>
    </row>
    <row r="408" spans="1:7" x14ac:dyDescent="0.25">
      <c r="A408" t="s">
        <v>1566</v>
      </c>
      <c r="B408" t="s">
        <v>1567</v>
      </c>
      <c r="C408" t="s">
        <v>1558</v>
      </c>
      <c r="D408" t="s">
        <v>1568</v>
      </c>
      <c r="E408">
        <v>9</v>
      </c>
      <c r="F408">
        <v>22905</v>
      </c>
      <c r="G408">
        <v>206145</v>
      </c>
    </row>
    <row r="409" spans="1:7" x14ac:dyDescent="0.25">
      <c r="A409" t="s">
        <v>1563</v>
      </c>
      <c r="B409" t="s">
        <v>1561</v>
      </c>
      <c r="C409" t="s">
        <v>1554</v>
      </c>
      <c r="D409" t="s">
        <v>1553</v>
      </c>
      <c r="E409">
        <v>5</v>
      </c>
      <c r="F409">
        <v>7757</v>
      </c>
      <c r="G409">
        <v>38785</v>
      </c>
    </row>
    <row r="410" spans="1:7" x14ac:dyDescent="0.25">
      <c r="A410" t="s">
        <v>1555</v>
      </c>
      <c r="B410" t="s">
        <v>1551</v>
      </c>
      <c r="C410" t="s">
        <v>1565</v>
      </c>
      <c r="D410" t="s">
        <v>1553</v>
      </c>
      <c r="E410">
        <v>1</v>
      </c>
      <c r="F410">
        <v>21338</v>
      </c>
      <c r="G410">
        <v>21338</v>
      </c>
    </row>
    <row r="411" spans="1:7" x14ac:dyDescent="0.25">
      <c r="A411" t="s">
        <v>1564</v>
      </c>
      <c r="B411" t="s">
        <v>1559</v>
      </c>
      <c r="C411" t="s">
        <v>1558</v>
      </c>
      <c r="D411" t="s">
        <v>1553</v>
      </c>
      <c r="E411">
        <v>1</v>
      </c>
      <c r="F411">
        <v>21378</v>
      </c>
      <c r="G411">
        <v>21378</v>
      </c>
    </row>
    <row r="412" spans="1:7" x14ac:dyDescent="0.25">
      <c r="A412" t="s">
        <v>1555</v>
      </c>
      <c r="B412" t="s">
        <v>1551</v>
      </c>
      <c r="C412" t="s">
        <v>1550</v>
      </c>
      <c r="D412" t="s">
        <v>1568</v>
      </c>
      <c r="E412">
        <v>1</v>
      </c>
      <c r="F412">
        <v>9593</v>
      </c>
      <c r="G412">
        <v>9593</v>
      </c>
    </row>
    <row r="413" spans="1:7" x14ac:dyDescent="0.25">
      <c r="A413" t="s">
        <v>1563</v>
      </c>
      <c r="B413" t="s">
        <v>1567</v>
      </c>
      <c r="C413" t="s">
        <v>1565</v>
      </c>
      <c r="D413" t="s">
        <v>1549</v>
      </c>
      <c r="E413">
        <v>1</v>
      </c>
      <c r="F413">
        <v>28040</v>
      </c>
      <c r="G413">
        <v>28040</v>
      </c>
    </row>
    <row r="414" spans="1:7" x14ac:dyDescent="0.25">
      <c r="A414" t="s">
        <v>1563</v>
      </c>
      <c r="B414" t="s">
        <v>1561</v>
      </c>
      <c r="C414" t="s">
        <v>1565</v>
      </c>
      <c r="D414" t="s">
        <v>1553</v>
      </c>
      <c r="E414">
        <v>6</v>
      </c>
      <c r="F414">
        <v>4578</v>
      </c>
      <c r="G414">
        <v>27468</v>
      </c>
    </row>
    <row r="415" spans="1:7" x14ac:dyDescent="0.25">
      <c r="A415" t="s">
        <v>1552</v>
      </c>
      <c r="B415" t="s">
        <v>1567</v>
      </c>
      <c r="C415" t="s">
        <v>1565</v>
      </c>
      <c r="D415" t="s">
        <v>1556</v>
      </c>
      <c r="E415">
        <v>6</v>
      </c>
      <c r="F415">
        <v>4781</v>
      </c>
      <c r="G415">
        <v>28686</v>
      </c>
    </row>
    <row r="416" spans="1:7" x14ac:dyDescent="0.25">
      <c r="A416" t="s">
        <v>1566</v>
      </c>
      <c r="B416" t="s">
        <v>1567</v>
      </c>
      <c r="C416" t="s">
        <v>1554</v>
      </c>
      <c r="D416" t="s">
        <v>1562</v>
      </c>
      <c r="E416">
        <v>9</v>
      </c>
      <c r="F416">
        <v>15368</v>
      </c>
      <c r="G416">
        <v>138312</v>
      </c>
    </row>
    <row r="417" spans="1:7" x14ac:dyDescent="0.25">
      <c r="A417" t="s">
        <v>1563</v>
      </c>
      <c r="B417" t="s">
        <v>1551</v>
      </c>
      <c r="C417" t="s">
        <v>1565</v>
      </c>
      <c r="D417" t="s">
        <v>1568</v>
      </c>
      <c r="E417">
        <v>9</v>
      </c>
      <c r="F417">
        <v>10969</v>
      </c>
      <c r="G417">
        <v>98721</v>
      </c>
    </row>
    <row r="418" spans="1:7" x14ac:dyDescent="0.25">
      <c r="A418" t="s">
        <v>1564</v>
      </c>
      <c r="B418" t="s">
        <v>1559</v>
      </c>
      <c r="C418" t="s">
        <v>1565</v>
      </c>
      <c r="D418" t="s">
        <v>1562</v>
      </c>
      <c r="E418">
        <v>10</v>
      </c>
      <c r="F418">
        <v>13027</v>
      </c>
      <c r="G418">
        <v>130270</v>
      </c>
    </row>
    <row r="419" spans="1:7" x14ac:dyDescent="0.25">
      <c r="A419" t="s">
        <v>1563</v>
      </c>
      <c r="B419" t="s">
        <v>1561</v>
      </c>
      <c r="C419" t="s">
        <v>1557</v>
      </c>
      <c r="D419" t="s">
        <v>1568</v>
      </c>
      <c r="E419">
        <v>7</v>
      </c>
      <c r="F419">
        <v>5608</v>
      </c>
      <c r="G419">
        <v>39256</v>
      </c>
    </row>
    <row r="420" spans="1:7" x14ac:dyDescent="0.25">
      <c r="A420" t="s">
        <v>1563</v>
      </c>
      <c r="B420" t="s">
        <v>1561</v>
      </c>
      <c r="C420" t="s">
        <v>1554</v>
      </c>
      <c r="D420" t="s">
        <v>1562</v>
      </c>
      <c r="E420">
        <v>9</v>
      </c>
      <c r="F420">
        <v>13748</v>
      </c>
      <c r="G420">
        <v>123732</v>
      </c>
    </row>
    <row r="421" spans="1:7" x14ac:dyDescent="0.25">
      <c r="A421" t="s">
        <v>1566</v>
      </c>
      <c r="B421" t="s">
        <v>1559</v>
      </c>
      <c r="C421" t="s">
        <v>1558</v>
      </c>
      <c r="D421" t="s">
        <v>1549</v>
      </c>
      <c r="E421">
        <v>9</v>
      </c>
      <c r="F421">
        <v>12689</v>
      </c>
      <c r="G421">
        <v>114201</v>
      </c>
    </row>
    <row r="422" spans="1:7" x14ac:dyDescent="0.25">
      <c r="A422" t="s">
        <v>1564</v>
      </c>
      <c r="B422" t="s">
        <v>1551</v>
      </c>
      <c r="C422" t="s">
        <v>1558</v>
      </c>
      <c r="D422" t="s">
        <v>1568</v>
      </c>
      <c r="E422">
        <v>9</v>
      </c>
      <c r="F422">
        <v>4988</v>
      </c>
      <c r="G422">
        <v>44892</v>
      </c>
    </row>
    <row r="423" spans="1:7" x14ac:dyDescent="0.25">
      <c r="A423" t="s">
        <v>1552</v>
      </c>
      <c r="B423" t="s">
        <v>1567</v>
      </c>
      <c r="C423" t="s">
        <v>1558</v>
      </c>
      <c r="D423" t="s">
        <v>1568</v>
      </c>
      <c r="E423">
        <v>10</v>
      </c>
      <c r="F423">
        <v>27762</v>
      </c>
      <c r="G423">
        <v>277620</v>
      </c>
    </row>
    <row r="424" spans="1:7" x14ac:dyDescent="0.25">
      <c r="A424" t="s">
        <v>1555</v>
      </c>
      <c r="B424" t="s">
        <v>1551</v>
      </c>
      <c r="C424" t="s">
        <v>1550</v>
      </c>
      <c r="D424" t="s">
        <v>1560</v>
      </c>
      <c r="E424">
        <v>7</v>
      </c>
      <c r="F424">
        <v>25760</v>
      </c>
      <c r="G424">
        <v>180320</v>
      </c>
    </row>
    <row r="425" spans="1:7" x14ac:dyDescent="0.25">
      <c r="A425" t="s">
        <v>1552</v>
      </c>
      <c r="B425" t="s">
        <v>1551</v>
      </c>
      <c r="C425" t="s">
        <v>1565</v>
      </c>
      <c r="D425" t="s">
        <v>1560</v>
      </c>
      <c r="E425">
        <v>8</v>
      </c>
      <c r="F425">
        <v>12302</v>
      </c>
      <c r="G425">
        <v>98416</v>
      </c>
    </row>
    <row r="426" spans="1:7" x14ac:dyDescent="0.25">
      <c r="A426" t="s">
        <v>1563</v>
      </c>
      <c r="B426" t="s">
        <v>1561</v>
      </c>
      <c r="C426" t="s">
        <v>1557</v>
      </c>
      <c r="D426" t="s">
        <v>1556</v>
      </c>
      <c r="E426">
        <v>7</v>
      </c>
      <c r="F426">
        <v>15190</v>
      </c>
      <c r="G426">
        <v>106330</v>
      </c>
    </row>
    <row r="427" spans="1:7" x14ac:dyDescent="0.25">
      <c r="A427" t="s">
        <v>1555</v>
      </c>
      <c r="B427" t="s">
        <v>1551</v>
      </c>
      <c r="C427" t="s">
        <v>1558</v>
      </c>
      <c r="D427" t="s">
        <v>1560</v>
      </c>
      <c r="E427">
        <v>6</v>
      </c>
      <c r="F427">
        <v>23289</v>
      </c>
      <c r="G427">
        <v>139734</v>
      </c>
    </row>
    <row r="428" spans="1:7" x14ac:dyDescent="0.25">
      <c r="A428" t="s">
        <v>1566</v>
      </c>
      <c r="B428" t="s">
        <v>1561</v>
      </c>
      <c r="C428" t="s">
        <v>1550</v>
      </c>
      <c r="D428" t="s">
        <v>1556</v>
      </c>
      <c r="E428">
        <v>8</v>
      </c>
      <c r="F428">
        <v>3052</v>
      </c>
      <c r="G428">
        <v>24416</v>
      </c>
    </row>
    <row r="429" spans="1:7" x14ac:dyDescent="0.25">
      <c r="A429" t="s">
        <v>1555</v>
      </c>
      <c r="B429" t="s">
        <v>1561</v>
      </c>
      <c r="C429" t="s">
        <v>1558</v>
      </c>
      <c r="D429" t="s">
        <v>1553</v>
      </c>
      <c r="E429">
        <v>8</v>
      </c>
      <c r="F429">
        <v>6038</v>
      </c>
      <c r="G429">
        <v>48304</v>
      </c>
    </row>
    <row r="430" spans="1:7" x14ac:dyDescent="0.25">
      <c r="A430" t="s">
        <v>1563</v>
      </c>
      <c r="B430" t="s">
        <v>1559</v>
      </c>
      <c r="C430" t="s">
        <v>1557</v>
      </c>
      <c r="D430" t="s">
        <v>1568</v>
      </c>
      <c r="E430">
        <v>4</v>
      </c>
      <c r="F430">
        <v>24852</v>
      </c>
      <c r="G430">
        <v>99408</v>
      </c>
    </row>
    <row r="431" spans="1:7" x14ac:dyDescent="0.25">
      <c r="A431" t="s">
        <v>1566</v>
      </c>
      <c r="B431" t="s">
        <v>1559</v>
      </c>
      <c r="C431" t="s">
        <v>1550</v>
      </c>
      <c r="D431" t="s">
        <v>1556</v>
      </c>
      <c r="E431">
        <v>9</v>
      </c>
      <c r="F431">
        <v>6272</v>
      </c>
      <c r="G431">
        <v>56448</v>
      </c>
    </row>
    <row r="432" spans="1:7" x14ac:dyDescent="0.25">
      <c r="A432" t="s">
        <v>1552</v>
      </c>
      <c r="B432" t="s">
        <v>1559</v>
      </c>
      <c r="C432" t="s">
        <v>1565</v>
      </c>
      <c r="D432" t="s">
        <v>1568</v>
      </c>
      <c r="E432">
        <v>6</v>
      </c>
      <c r="F432">
        <v>22981</v>
      </c>
      <c r="G432">
        <v>137886</v>
      </c>
    </row>
    <row r="433" spans="1:7" x14ac:dyDescent="0.25">
      <c r="A433" t="s">
        <v>1555</v>
      </c>
      <c r="B433" t="s">
        <v>1567</v>
      </c>
      <c r="C433" t="s">
        <v>1557</v>
      </c>
      <c r="D433" t="s">
        <v>1560</v>
      </c>
      <c r="E433">
        <v>6</v>
      </c>
      <c r="F433">
        <v>22068</v>
      </c>
      <c r="G433">
        <v>132408</v>
      </c>
    </row>
    <row r="434" spans="1:7" x14ac:dyDescent="0.25">
      <c r="A434" t="s">
        <v>1566</v>
      </c>
      <c r="B434" t="s">
        <v>1567</v>
      </c>
      <c r="C434" t="s">
        <v>1565</v>
      </c>
      <c r="D434" t="s">
        <v>1549</v>
      </c>
      <c r="E434">
        <v>3</v>
      </c>
      <c r="F434">
        <v>20515</v>
      </c>
      <c r="G434">
        <v>61545</v>
      </c>
    </row>
    <row r="435" spans="1:7" x14ac:dyDescent="0.25">
      <c r="A435" t="s">
        <v>1563</v>
      </c>
      <c r="B435" t="s">
        <v>1561</v>
      </c>
      <c r="C435" t="s">
        <v>1554</v>
      </c>
      <c r="D435" t="s">
        <v>1556</v>
      </c>
      <c r="E435">
        <v>7</v>
      </c>
      <c r="F435">
        <v>6366</v>
      </c>
      <c r="G435">
        <v>44562</v>
      </c>
    </row>
    <row r="436" spans="1:7" x14ac:dyDescent="0.25">
      <c r="A436" t="s">
        <v>1555</v>
      </c>
      <c r="B436" t="s">
        <v>1561</v>
      </c>
      <c r="C436" t="s">
        <v>1557</v>
      </c>
      <c r="D436" t="s">
        <v>1562</v>
      </c>
      <c r="E436">
        <v>2</v>
      </c>
      <c r="F436">
        <v>6730</v>
      </c>
      <c r="G436">
        <v>13460</v>
      </c>
    </row>
    <row r="437" spans="1:7" x14ac:dyDescent="0.25">
      <c r="A437" t="s">
        <v>1555</v>
      </c>
      <c r="B437" t="s">
        <v>1561</v>
      </c>
      <c r="C437" t="s">
        <v>1558</v>
      </c>
      <c r="D437" t="s">
        <v>1553</v>
      </c>
      <c r="E437">
        <v>8</v>
      </c>
      <c r="F437">
        <v>12591</v>
      </c>
      <c r="G437">
        <v>100728</v>
      </c>
    </row>
    <row r="438" spans="1:7" x14ac:dyDescent="0.25">
      <c r="A438" t="s">
        <v>1552</v>
      </c>
      <c r="B438" t="s">
        <v>1551</v>
      </c>
      <c r="C438" t="s">
        <v>1554</v>
      </c>
      <c r="D438" t="s">
        <v>1549</v>
      </c>
      <c r="E438">
        <v>1</v>
      </c>
      <c r="F438">
        <v>19832</v>
      </c>
      <c r="G438">
        <v>19832</v>
      </c>
    </row>
    <row r="439" spans="1:7" x14ac:dyDescent="0.25">
      <c r="A439" t="s">
        <v>1555</v>
      </c>
      <c r="B439" t="s">
        <v>1567</v>
      </c>
      <c r="C439" t="s">
        <v>1554</v>
      </c>
      <c r="D439" t="s">
        <v>1560</v>
      </c>
      <c r="E439">
        <v>5</v>
      </c>
      <c r="F439">
        <v>19640</v>
      </c>
      <c r="G439">
        <v>98200</v>
      </c>
    </row>
    <row r="440" spans="1:7" x14ac:dyDescent="0.25">
      <c r="A440" t="s">
        <v>1566</v>
      </c>
      <c r="B440" t="s">
        <v>1567</v>
      </c>
      <c r="C440" t="s">
        <v>1554</v>
      </c>
      <c r="D440" t="s">
        <v>1549</v>
      </c>
      <c r="E440">
        <v>4</v>
      </c>
      <c r="F440">
        <v>20220</v>
      </c>
      <c r="G440">
        <v>80880</v>
      </c>
    </row>
    <row r="441" spans="1:7" x14ac:dyDescent="0.25">
      <c r="A441" t="s">
        <v>1563</v>
      </c>
      <c r="B441" t="s">
        <v>1561</v>
      </c>
      <c r="C441" t="s">
        <v>1565</v>
      </c>
      <c r="D441" t="s">
        <v>1549</v>
      </c>
      <c r="E441">
        <v>8</v>
      </c>
      <c r="F441">
        <v>29159</v>
      </c>
      <c r="G441">
        <v>233272</v>
      </c>
    </row>
    <row r="442" spans="1:7" x14ac:dyDescent="0.25">
      <c r="A442" t="s">
        <v>1563</v>
      </c>
      <c r="B442" t="s">
        <v>1559</v>
      </c>
      <c r="C442" t="s">
        <v>1554</v>
      </c>
      <c r="D442" t="s">
        <v>1560</v>
      </c>
      <c r="E442">
        <v>3</v>
      </c>
      <c r="F442">
        <v>24376</v>
      </c>
      <c r="G442">
        <v>73128</v>
      </c>
    </row>
    <row r="443" spans="1:7" x14ac:dyDescent="0.25">
      <c r="A443" t="s">
        <v>1555</v>
      </c>
      <c r="B443" t="s">
        <v>1567</v>
      </c>
      <c r="C443" t="s">
        <v>1558</v>
      </c>
      <c r="D443" t="s">
        <v>1562</v>
      </c>
      <c r="E443">
        <v>6</v>
      </c>
      <c r="F443">
        <v>1318</v>
      </c>
      <c r="G443">
        <v>7908</v>
      </c>
    </row>
    <row r="444" spans="1:7" x14ac:dyDescent="0.25">
      <c r="A444" t="s">
        <v>1552</v>
      </c>
      <c r="B444" t="s">
        <v>1567</v>
      </c>
      <c r="C444" t="s">
        <v>1554</v>
      </c>
      <c r="D444" t="s">
        <v>1560</v>
      </c>
      <c r="E444">
        <v>4</v>
      </c>
      <c r="F444">
        <v>21978</v>
      </c>
      <c r="G444">
        <v>87912</v>
      </c>
    </row>
    <row r="445" spans="1:7" x14ac:dyDescent="0.25">
      <c r="A445" t="s">
        <v>1564</v>
      </c>
      <c r="B445" t="s">
        <v>1551</v>
      </c>
      <c r="C445" t="s">
        <v>1558</v>
      </c>
      <c r="D445" t="s">
        <v>1562</v>
      </c>
      <c r="E445">
        <v>8</v>
      </c>
      <c r="F445">
        <v>19220</v>
      </c>
      <c r="G445">
        <v>153760</v>
      </c>
    </row>
    <row r="446" spans="1:7" x14ac:dyDescent="0.25">
      <c r="A446" t="s">
        <v>1564</v>
      </c>
      <c r="B446" t="s">
        <v>1567</v>
      </c>
      <c r="C446" t="s">
        <v>1558</v>
      </c>
      <c r="D446" t="s">
        <v>1560</v>
      </c>
      <c r="E446">
        <v>6</v>
      </c>
      <c r="F446">
        <v>20748</v>
      </c>
      <c r="G446">
        <v>124488</v>
      </c>
    </row>
    <row r="447" spans="1:7" x14ac:dyDescent="0.25">
      <c r="A447" t="s">
        <v>1563</v>
      </c>
      <c r="B447" t="s">
        <v>1567</v>
      </c>
      <c r="C447" t="s">
        <v>1557</v>
      </c>
      <c r="D447" t="s">
        <v>1549</v>
      </c>
      <c r="E447">
        <v>4</v>
      </c>
      <c r="F447">
        <v>11925</v>
      </c>
      <c r="G447">
        <v>47700</v>
      </c>
    </row>
    <row r="448" spans="1:7" x14ac:dyDescent="0.25">
      <c r="A448" t="s">
        <v>1555</v>
      </c>
      <c r="B448" t="s">
        <v>1559</v>
      </c>
      <c r="C448" t="s">
        <v>1554</v>
      </c>
      <c r="D448" t="s">
        <v>1553</v>
      </c>
      <c r="E448">
        <v>8</v>
      </c>
      <c r="F448">
        <v>20275</v>
      </c>
      <c r="G448">
        <v>162200</v>
      </c>
    </row>
    <row r="449" spans="1:7" x14ac:dyDescent="0.25">
      <c r="A449" t="s">
        <v>1566</v>
      </c>
      <c r="B449" t="s">
        <v>1551</v>
      </c>
      <c r="C449" t="s">
        <v>1565</v>
      </c>
      <c r="D449" t="s">
        <v>1556</v>
      </c>
      <c r="E449">
        <v>5</v>
      </c>
      <c r="F449">
        <v>20387</v>
      </c>
      <c r="G449">
        <v>101935</v>
      </c>
    </row>
    <row r="450" spans="1:7" x14ac:dyDescent="0.25">
      <c r="A450" t="s">
        <v>1563</v>
      </c>
      <c r="B450" t="s">
        <v>1567</v>
      </c>
      <c r="C450" t="s">
        <v>1550</v>
      </c>
      <c r="D450" t="s">
        <v>1553</v>
      </c>
      <c r="E450">
        <v>6</v>
      </c>
      <c r="F450">
        <v>3628</v>
      </c>
      <c r="G450">
        <v>21768</v>
      </c>
    </row>
    <row r="451" spans="1:7" x14ac:dyDescent="0.25">
      <c r="A451" t="s">
        <v>1566</v>
      </c>
      <c r="B451" t="s">
        <v>1567</v>
      </c>
      <c r="C451" t="s">
        <v>1557</v>
      </c>
      <c r="D451" t="s">
        <v>1568</v>
      </c>
      <c r="E451">
        <v>7</v>
      </c>
      <c r="F451">
        <v>15809</v>
      </c>
      <c r="G451">
        <v>110663</v>
      </c>
    </row>
    <row r="452" spans="1:7" x14ac:dyDescent="0.25">
      <c r="A452" t="s">
        <v>1552</v>
      </c>
      <c r="B452" t="s">
        <v>1561</v>
      </c>
      <c r="C452" t="s">
        <v>1557</v>
      </c>
      <c r="D452" t="s">
        <v>1568</v>
      </c>
      <c r="E452">
        <v>8</v>
      </c>
      <c r="F452">
        <v>25908</v>
      </c>
      <c r="G452">
        <v>207264</v>
      </c>
    </row>
    <row r="453" spans="1:7" x14ac:dyDescent="0.25">
      <c r="A453" t="s">
        <v>1555</v>
      </c>
      <c r="B453" t="s">
        <v>1551</v>
      </c>
      <c r="C453" t="s">
        <v>1550</v>
      </c>
      <c r="D453" t="s">
        <v>1553</v>
      </c>
      <c r="E453">
        <v>5</v>
      </c>
      <c r="F453">
        <v>3666</v>
      </c>
      <c r="G453">
        <v>18330</v>
      </c>
    </row>
    <row r="454" spans="1:7" x14ac:dyDescent="0.25">
      <c r="A454" t="s">
        <v>1555</v>
      </c>
      <c r="B454" t="s">
        <v>1551</v>
      </c>
      <c r="C454" t="s">
        <v>1558</v>
      </c>
      <c r="D454" t="s">
        <v>1568</v>
      </c>
      <c r="E454">
        <v>1</v>
      </c>
      <c r="F454">
        <v>12713</v>
      </c>
      <c r="G454">
        <v>12713</v>
      </c>
    </row>
    <row r="455" spans="1:7" x14ac:dyDescent="0.25">
      <c r="A455" t="s">
        <v>1566</v>
      </c>
      <c r="B455" t="s">
        <v>1551</v>
      </c>
      <c r="C455" t="s">
        <v>1557</v>
      </c>
      <c r="D455" t="s">
        <v>1562</v>
      </c>
      <c r="E455">
        <v>7</v>
      </c>
      <c r="F455">
        <v>29332</v>
      </c>
      <c r="G455">
        <v>205324</v>
      </c>
    </row>
    <row r="456" spans="1:7" x14ac:dyDescent="0.25">
      <c r="A456" t="s">
        <v>1552</v>
      </c>
      <c r="B456" t="s">
        <v>1551</v>
      </c>
      <c r="C456" t="s">
        <v>1557</v>
      </c>
      <c r="D456" t="s">
        <v>1549</v>
      </c>
      <c r="E456">
        <v>8</v>
      </c>
      <c r="F456">
        <v>19426</v>
      </c>
      <c r="G456">
        <v>155408</v>
      </c>
    </row>
    <row r="457" spans="1:7" x14ac:dyDescent="0.25">
      <c r="A457" t="s">
        <v>1555</v>
      </c>
      <c r="B457" t="s">
        <v>1561</v>
      </c>
      <c r="C457" t="s">
        <v>1558</v>
      </c>
      <c r="D457" t="s">
        <v>1556</v>
      </c>
      <c r="E457">
        <v>7</v>
      </c>
      <c r="F457">
        <v>10471</v>
      </c>
      <c r="G457">
        <v>73297</v>
      </c>
    </row>
    <row r="458" spans="1:7" x14ac:dyDescent="0.25">
      <c r="A458" t="s">
        <v>1552</v>
      </c>
      <c r="B458" t="s">
        <v>1561</v>
      </c>
      <c r="C458" t="s">
        <v>1558</v>
      </c>
      <c r="D458" t="s">
        <v>1556</v>
      </c>
      <c r="E458">
        <v>5</v>
      </c>
      <c r="F458">
        <v>18167</v>
      </c>
      <c r="G458">
        <v>90835</v>
      </c>
    </row>
    <row r="459" spans="1:7" x14ac:dyDescent="0.25">
      <c r="A459" t="s">
        <v>1566</v>
      </c>
      <c r="B459" t="s">
        <v>1561</v>
      </c>
      <c r="C459" t="s">
        <v>1557</v>
      </c>
      <c r="D459" t="s">
        <v>1560</v>
      </c>
      <c r="E459">
        <v>3</v>
      </c>
      <c r="F459">
        <v>26360</v>
      </c>
      <c r="G459">
        <v>79080</v>
      </c>
    </row>
    <row r="460" spans="1:7" x14ac:dyDescent="0.25">
      <c r="A460" t="s">
        <v>1566</v>
      </c>
      <c r="B460" t="s">
        <v>1561</v>
      </c>
      <c r="C460" t="s">
        <v>1554</v>
      </c>
      <c r="D460" t="s">
        <v>1568</v>
      </c>
      <c r="E460">
        <v>2</v>
      </c>
      <c r="F460">
        <v>19717</v>
      </c>
      <c r="G460">
        <v>39434</v>
      </c>
    </row>
    <row r="461" spans="1:7" x14ac:dyDescent="0.25">
      <c r="A461" t="s">
        <v>1566</v>
      </c>
      <c r="B461" t="s">
        <v>1561</v>
      </c>
      <c r="C461" t="s">
        <v>1550</v>
      </c>
      <c r="D461" t="s">
        <v>1553</v>
      </c>
      <c r="E461">
        <v>2</v>
      </c>
      <c r="F461">
        <v>15779</v>
      </c>
      <c r="G461">
        <v>31558</v>
      </c>
    </row>
    <row r="462" spans="1:7" x14ac:dyDescent="0.25">
      <c r="A462" t="s">
        <v>1563</v>
      </c>
      <c r="B462" t="s">
        <v>1561</v>
      </c>
      <c r="C462" t="s">
        <v>1557</v>
      </c>
      <c r="D462" t="s">
        <v>1562</v>
      </c>
      <c r="E462">
        <v>9</v>
      </c>
      <c r="F462">
        <v>28895</v>
      </c>
      <c r="G462">
        <v>260055</v>
      </c>
    </row>
    <row r="463" spans="1:7" x14ac:dyDescent="0.25">
      <c r="A463" t="s">
        <v>1564</v>
      </c>
      <c r="B463" t="s">
        <v>1561</v>
      </c>
      <c r="C463" t="s">
        <v>1557</v>
      </c>
      <c r="D463" t="s">
        <v>1562</v>
      </c>
      <c r="E463">
        <v>8</v>
      </c>
      <c r="F463">
        <v>29446</v>
      </c>
      <c r="G463">
        <v>235568</v>
      </c>
    </row>
    <row r="464" spans="1:7" x14ac:dyDescent="0.25">
      <c r="A464" t="s">
        <v>1564</v>
      </c>
      <c r="B464" t="s">
        <v>1567</v>
      </c>
      <c r="C464" t="s">
        <v>1554</v>
      </c>
      <c r="D464" t="s">
        <v>1549</v>
      </c>
      <c r="E464">
        <v>1</v>
      </c>
      <c r="F464">
        <v>12326</v>
      </c>
      <c r="G464">
        <v>12326</v>
      </c>
    </row>
    <row r="465" spans="1:7" x14ac:dyDescent="0.25">
      <c r="A465" t="s">
        <v>1566</v>
      </c>
      <c r="B465" t="s">
        <v>1559</v>
      </c>
      <c r="C465" t="s">
        <v>1550</v>
      </c>
      <c r="D465" t="s">
        <v>1562</v>
      </c>
      <c r="E465">
        <v>3</v>
      </c>
      <c r="F465">
        <v>20690</v>
      </c>
      <c r="G465">
        <v>62070</v>
      </c>
    </row>
    <row r="466" spans="1:7" x14ac:dyDescent="0.25">
      <c r="A466" t="s">
        <v>1564</v>
      </c>
      <c r="B466" t="s">
        <v>1567</v>
      </c>
      <c r="C466" t="s">
        <v>1557</v>
      </c>
      <c r="D466" t="s">
        <v>1560</v>
      </c>
      <c r="E466">
        <v>3</v>
      </c>
      <c r="F466">
        <v>9664</v>
      </c>
      <c r="G466">
        <v>28992</v>
      </c>
    </row>
    <row r="467" spans="1:7" x14ac:dyDescent="0.25">
      <c r="A467" t="s">
        <v>1563</v>
      </c>
      <c r="B467" t="s">
        <v>1551</v>
      </c>
      <c r="C467" t="s">
        <v>1550</v>
      </c>
      <c r="D467" t="s">
        <v>1560</v>
      </c>
      <c r="E467">
        <v>10</v>
      </c>
      <c r="F467">
        <v>9751</v>
      </c>
      <c r="G467">
        <v>97510</v>
      </c>
    </row>
    <row r="468" spans="1:7" x14ac:dyDescent="0.25">
      <c r="A468" t="s">
        <v>1563</v>
      </c>
      <c r="B468" t="s">
        <v>1567</v>
      </c>
      <c r="C468" t="s">
        <v>1554</v>
      </c>
      <c r="D468" t="s">
        <v>1549</v>
      </c>
      <c r="E468">
        <v>4</v>
      </c>
      <c r="F468">
        <v>10521</v>
      </c>
      <c r="G468">
        <v>42084</v>
      </c>
    </row>
    <row r="469" spans="1:7" x14ac:dyDescent="0.25">
      <c r="A469" t="s">
        <v>1564</v>
      </c>
      <c r="B469" t="s">
        <v>1567</v>
      </c>
      <c r="C469" t="s">
        <v>1550</v>
      </c>
      <c r="D469" t="s">
        <v>1568</v>
      </c>
      <c r="E469">
        <v>1</v>
      </c>
      <c r="F469">
        <v>12181</v>
      </c>
      <c r="G469">
        <v>12181</v>
      </c>
    </row>
    <row r="470" spans="1:7" x14ac:dyDescent="0.25">
      <c r="A470" t="s">
        <v>1555</v>
      </c>
      <c r="B470" t="s">
        <v>1567</v>
      </c>
      <c r="C470" t="s">
        <v>1565</v>
      </c>
      <c r="D470" t="s">
        <v>1553</v>
      </c>
      <c r="E470">
        <v>7</v>
      </c>
      <c r="F470">
        <v>22944</v>
      </c>
      <c r="G470">
        <v>160608</v>
      </c>
    </row>
    <row r="471" spans="1:7" x14ac:dyDescent="0.25">
      <c r="A471" t="s">
        <v>1552</v>
      </c>
      <c r="B471" t="s">
        <v>1559</v>
      </c>
      <c r="C471" t="s">
        <v>1550</v>
      </c>
      <c r="D471" t="s">
        <v>1568</v>
      </c>
      <c r="E471">
        <v>8</v>
      </c>
      <c r="F471">
        <v>20296</v>
      </c>
      <c r="G471">
        <v>162368</v>
      </c>
    </row>
    <row r="472" spans="1:7" x14ac:dyDescent="0.25">
      <c r="A472" t="s">
        <v>1552</v>
      </c>
      <c r="B472" t="s">
        <v>1551</v>
      </c>
      <c r="C472" t="s">
        <v>1550</v>
      </c>
      <c r="D472" t="s">
        <v>1549</v>
      </c>
      <c r="E472">
        <v>5</v>
      </c>
      <c r="F472">
        <v>3999</v>
      </c>
      <c r="G472">
        <v>19995</v>
      </c>
    </row>
    <row r="473" spans="1:7" x14ac:dyDescent="0.25">
      <c r="A473" t="s">
        <v>1566</v>
      </c>
      <c r="B473" t="s">
        <v>1559</v>
      </c>
      <c r="C473" t="s">
        <v>1565</v>
      </c>
      <c r="D473" t="s">
        <v>1556</v>
      </c>
      <c r="E473">
        <v>2</v>
      </c>
      <c r="F473">
        <v>28157</v>
      </c>
      <c r="G473">
        <v>56314</v>
      </c>
    </row>
    <row r="474" spans="1:7" x14ac:dyDescent="0.25">
      <c r="A474" t="s">
        <v>1563</v>
      </c>
      <c r="B474" t="s">
        <v>1567</v>
      </c>
      <c r="C474" t="s">
        <v>1565</v>
      </c>
      <c r="D474" t="s">
        <v>1556</v>
      </c>
      <c r="E474">
        <v>2</v>
      </c>
      <c r="F474">
        <v>21259</v>
      </c>
      <c r="G474">
        <v>42518</v>
      </c>
    </row>
    <row r="475" spans="1:7" x14ac:dyDescent="0.25">
      <c r="A475" t="s">
        <v>1563</v>
      </c>
      <c r="B475" t="s">
        <v>1551</v>
      </c>
      <c r="C475" t="s">
        <v>1554</v>
      </c>
      <c r="D475" t="s">
        <v>1568</v>
      </c>
      <c r="E475">
        <v>3</v>
      </c>
      <c r="F475">
        <v>9607</v>
      </c>
      <c r="G475">
        <v>28821</v>
      </c>
    </row>
    <row r="476" spans="1:7" x14ac:dyDescent="0.25">
      <c r="A476" t="s">
        <v>1566</v>
      </c>
      <c r="B476" t="s">
        <v>1551</v>
      </c>
      <c r="C476" t="s">
        <v>1550</v>
      </c>
      <c r="D476" t="s">
        <v>1560</v>
      </c>
      <c r="E476">
        <v>5</v>
      </c>
      <c r="F476">
        <v>13601</v>
      </c>
      <c r="G476">
        <v>68005</v>
      </c>
    </row>
    <row r="477" spans="1:7" x14ac:dyDescent="0.25">
      <c r="A477" t="s">
        <v>1563</v>
      </c>
      <c r="B477" t="s">
        <v>1567</v>
      </c>
      <c r="C477" t="s">
        <v>1550</v>
      </c>
      <c r="D477" t="s">
        <v>1549</v>
      </c>
      <c r="E477">
        <v>10</v>
      </c>
      <c r="F477">
        <v>5967</v>
      </c>
      <c r="G477">
        <v>59670</v>
      </c>
    </row>
    <row r="478" spans="1:7" x14ac:dyDescent="0.25">
      <c r="A478" t="s">
        <v>1563</v>
      </c>
      <c r="B478" t="s">
        <v>1559</v>
      </c>
      <c r="C478" t="s">
        <v>1550</v>
      </c>
      <c r="D478" t="s">
        <v>1553</v>
      </c>
      <c r="E478">
        <v>8</v>
      </c>
      <c r="F478">
        <v>1036</v>
      </c>
      <c r="G478">
        <v>8288</v>
      </c>
    </row>
    <row r="479" spans="1:7" x14ac:dyDescent="0.25">
      <c r="A479" t="s">
        <v>1564</v>
      </c>
      <c r="B479" t="s">
        <v>1561</v>
      </c>
      <c r="C479" t="s">
        <v>1550</v>
      </c>
      <c r="D479" t="s">
        <v>1568</v>
      </c>
      <c r="E479">
        <v>8</v>
      </c>
      <c r="F479">
        <v>23329</v>
      </c>
      <c r="G479">
        <v>186632</v>
      </c>
    </row>
    <row r="480" spans="1:7" x14ac:dyDescent="0.25">
      <c r="A480" t="s">
        <v>1552</v>
      </c>
      <c r="B480" t="s">
        <v>1561</v>
      </c>
      <c r="C480" t="s">
        <v>1557</v>
      </c>
      <c r="D480" t="s">
        <v>1549</v>
      </c>
      <c r="E480">
        <v>9</v>
      </c>
      <c r="F480">
        <v>10695</v>
      </c>
      <c r="G480">
        <v>96255</v>
      </c>
    </row>
    <row r="481" spans="1:7" x14ac:dyDescent="0.25">
      <c r="A481" t="s">
        <v>1552</v>
      </c>
      <c r="B481" t="s">
        <v>1559</v>
      </c>
      <c r="C481" t="s">
        <v>1554</v>
      </c>
      <c r="D481" t="s">
        <v>1562</v>
      </c>
      <c r="E481">
        <v>9</v>
      </c>
      <c r="F481">
        <v>12662</v>
      </c>
      <c r="G481">
        <v>113958</v>
      </c>
    </row>
    <row r="482" spans="1:7" x14ac:dyDescent="0.25">
      <c r="A482" t="s">
        <v>1563</v>
      </c>
      <c r="B482" t="s">
        <v>1559</v>
      </c>
      <c r="C482" t="s">
        <v>1558</v>
      </c>
      <c r="D482" t="s">
        <v>1568</v>
      </c>
      <c r="E482">
        <v>7</v>
      </c>
      <c r="F482">
        <v>25120</v>
      </c>
      <c r="G482">
        <v>175840</v>
      </c>
    </row>
    <row r="483" spans="1:7" x14ac:dyDescent="0.25">
      <c r="A483" t="s">
        <v>1563</v>
      </c>
      <c r="B483" t="s">
        <v>1561</v>
      </c>
      <c r="C483" t="s">
        <v>1550</v>
      </c>
      <c r="D483" t="s">
        <v>1562</v>
      </c>
      <c r="E483">
        <v>3</v>
      </c>
      <c r="F483">
        <v>20114</v>
      </c>
      <c r="G483">
        <v>60342</v>
      </c>
    </row>
    <row r="484" spans="1:7" x14ac:dyDescent="0.25">
      <c r="A484" t="s">
        <v>1563</v>
      </c>
      <c r="B484" t="s">
        <v>1551</v>
      </c>
      <c r="C484" t="s">
        <v>1558</v>
      </c>
      <c r="D484" t="s">
        <v>1549</v>
      </c>
      <c r="E484">
        <v>3</v>
      </c>
      <c r="F484">
        <v>23943</v>
      </c>
      <c r="G484">
        <v>71829</v>
      </c>
    </row>
    <row r="485" spans="1:7" x14ac:dyDescent="0.25">
      <c r="A485" t="s">
        <v>1552</v>
      </c>
      <c r="B485" t="s">
        <v>1559</v>
      </c>
      <c r="C485" t="s">
        <v>1557</v>
      </c>
      <c r="D485" t="s">
        <v>1560</v>
      </c>
      <c r="E485">
        <v>3</v>
      </c>
      <c r="F485">
        <v>6822</v>
      </c>
      <c r="G485">
        <v>20466</v>
      </c>
    </row>
    <row r="486" spans="1:7" x14ac:dyDescent="0.25">
      <c r="A486" t="s">
        <v>1564</v>
      </c>
      <c r="B486" t="s">
        <v>1559</v>
      </c>
      <c r="C486" t="s">
        <v>1558</v>
      </c>
      <c r="D486" t="s">
        <v>1553</v>
      </c>
      <c r="E486">
        <v>9</v>
      </c>
      <c r="F486">
        <v>14784</v>
      </c>
      <c r="G486">
        <v>133056</v>
      </c>
    </row>
    <row r="487" spans="1:7" x14ac:dyDescent="0.25">
      <c r="A487" t="s">
        <v>1563</v>
      </c>
      <c r="B487" t="s">
        <v>1561</v>
      </c>
      <c r="C487" t="s">
        <v>1565</v>
      </c>
      <c r="D487" t="s">
        <v>1560</v>
      </c>
      <c r="E487">
        <v>4</v>
      </c>
      <c r="F487">
        <v>21096</v>
      </c>
      <c r="G487">
        <v>84384</v>
      </c>
    </row>
    <row r="488" spans="1:7" x14ac:dyDescent="0.25">
      <c r="A488" t="s">
        <v>1552</v>
      </c>
      <c r="B488" t="s">
        <v>1567</v>
      </c>
      <c r="C488" t="s">
        <v>1550</v>
      </c>
      <c r="D488" t="s">
        <v>1560</v>
      </c>
      <c r="E488">
        <v>6</v>
      </c>
      <c r="F488">
        <v>19948</v>
      </c>
      <c r="G488">
        <v>119688</v>
      </c>
    </row>
    <row r="489" spans="1:7" x14ac:dyDescent="0.25">
      <c r="A489" t="s">
        <v>1566</v>
      </c>
      <c r="B489" t="s">
        <v>1559</v>
      </c>
      <c r="C489" t="s">
        <v>1550</v>
      </c>
      <c r="D489" t="s">
        <v>1562</v>
      </c>
      <c r="E489">
        <v>4</v>
      </c>
      <c r="F489">
        <v>29030</v>
      </c>
      <c r="G489">
        <v>116120</v>
      </c>
    </row>
    <row r="490" spans="1:7" x14ac:dyDescent="0.25">
      <c r="A490" t="s">
        <v>1552</v>
      </c>
      <c r="B490" t="s">
        <v>1559</v>
      </c>
      <c r="C490" t="s">
        <v>1558</v>
      </c>
      <c r="D490" t="s">
        <v>1560</v>
      </c>
      <c r="E490">
        <v>10</v>
      </c>
      <c r="F490">
        <v>23979</v>
      </c>
      <c r="G490">
        <v>239790</v>
      </c>
    </row>
    <row r="491" spans="1:7" x14ac:dyDescent="0.25">
      <c r="A491" t="s">
        <v>1552</v>
      </c>
      <c r="B491" t="s">
        <v>1567</v>
      </c>
      <c r="C491" t="s">
        <v>1550</v>
      </c>
      <c r="D491" t="s">
        <v>1562</v>
      </c>
      <c r="E491">
        <v>4</v>
      </c>
      <c r="F491">
        <v>5788</v>
      </c>
      <c r="G491">
        <v>23152</v>
      </c>
    </row>
    <row r="492" spans="1:7" x14ac:dyDescent="0.25">
      <c r="A492" t="s">
        <v>1552</v>
      </c>
      <c r="B492" t="s">
        <v>1559</v>
      </c>
      <c r="C492" t="s">
        <v>1565</v>
      </c>
      <c r="D492" t="s">
        <v>1553</v>
      </c>
      <c r="E492">
        <v>8</v>
      </c>
      <c r="F492">
        <v>23034</v>
      </c>
      <c r="G492">
        <v>184272</v>
      </c>
    </row>
    <row r="493" spans="1:7" x14ac:dyDescent="0.25">
      <c r="A493" t="s">
        <v>1563</v>
      </c>
      <c r="B493" t="s">
        <v>1567</v>
      </c>
      <c r="C493" t="s">
        <v>1550</v>
      </c>
      <c r="D493" t="s">
        <v>1562</v>
      </c>
      <c r="E493">
        <v>8</v>
      </c>
      <c r="F493">
        <v>13980</v>
      </c>
      <c r="G493">
        <v>111840</v>
      </c>
    </row>
    <row r="494" spans="1:7" x14ac:dyDescent="0.25">
      <c r="A494" t="s">
        <v>1552</v>
      </c>
      <c r="B494" t="s">
        <v>1559</v>
      </c>
      <c r="C494" t="s">
        <v>1557</v>
      </c>
      <c r="D494" t="s">
        <v>1562</v>
      </c>
      <c r="E494">
        <v>7</v>
      </c>
      <c r="F494">
        <v>11649</v>
      </c>
      <c r="G494">
        <v>81543</v>
      </c>
    </row>
    <row r="495" spans="1:7" x14ac:dyDescent="0.25">
      <c r="A495" t="s">
        <v>1564</v>
      </c>
      <c r="B495" t="s">
        <v>1561</v>
      </c>
      <c r="C495" t="s">
        <v>1565</v>
      </c>
      <c r="D495" t="s">
        <v>1556</v>
      </c>
      <c r="E495">
        <v>9</v>
      </c>
      <c r="F495">
        <v>4362</v>
      </c>
      <c r="G495">
        <v>39258</v>
      </c>
    </row>
    <row r="496" spans="1:7" x14ac:dyDescent="0.25">
      <c r="A496" t="s">
        <v>1566</v>
      </c>
      <c r="B496" t="s">
        <v>1561</v>
      </c>
      <c r="C496" t="s">
        <v>1550</v>
      </c>
      <c r="D496" t="s">
        <v>1568</v>
      </c>
      <c r="E496">
        <v>6</v>
      </c>
      <c r="F496">
        <v>9176</v>
      </c>
      <c r="G496">
        <v>55056</v>
      </c>
    </row>
    <row r="497" spans="1:7" x14ac:dyDescent="0.25">
      <c r="A497" t="s">
        <v>1552</v>
      </c>
      <c r="B497" t="s">
        <v>1551</v>
      </c>
      <c r="C497" t="s">
        <v>1557</v>
      </c>
      <c r="D497" t="s">
        <v>1553</v>
      </c>
      <c r="E497">
        <v>1</v>
      </c>
      <c r="F497">
        <v>17164</v>
      </c>
      <c r="G497">
        <v>17164</v>
      </c>
    </row>
    <row r="498" spans="1:7" x14ac:dyDescent="0.25">
      <c r="A498" t="s">
        <v>1566</v>
      </c>
      <c r="B498" t="s">
        <v>1567</v>
      </c>
      <c r="C498" t="s">
        <v>1554</v>
      </c>
      <c r="D498" t="s">
        <v>1560</v>
      </c>
      <c r="E498">
        <v>9</v>
      </c>
      <c r="F498">
        <v>25712</v>
      </c>
      <c r="G498">
        <v>231408</v>
      </c>
    </row>
    <row r="499" spans="1:7" x14ac:dyDescent="0.25">
      <c r="A499" t="s">
        <v>1564</v>
      </c>
      <c r="B499" t="s">
        <v>1551</v>
      </c>
      <c r="C499" t="s">
        <v>1550</v>
      </c>
      <c r="D499" t="s">
        <v>1568</v>
      </c>
      <c r="E499">
        <v>1</v>
      </c>
      <c r="F499">
        <v>18308</v>
      </c>
      <c r="G499">
        <v>18308</v>
      </c>
    </row>
    <row r="500" spans="1:7" x14ac:dyDescent="0.25">
      <c r="A500" t="s">
        <v>1563</v>
      </c>
      <c r="B500" t="s">
        <v>1559</v>
      </c>
      <c r="C500" t="s">
        <v>1550</v>
      </c>
      <c r="D500" t="s">
        <v>1553</v>
      </c>
      <c r="E500">
        <v>9</v>
      </c>
      <c r="F500">
        <v>8388</v>
      </c>
      <c r="G500">
        <v>75492</v>
      </c>
    </row>
    <row r="501" spans="1:7" x14ac:dyDescent="0.25">
      <c r="A501" t="s">
        <v>1552</v>
      </c>
      <c r="B501" t="s">
        <v>1551</v>
      </c>
      <c r="C501" t="s">
        <v>1558</v>
      </c>
      <c r="D501" t="s">
        <v>1560</v>
      </c>
      <c r="E501">
        <v>1</v>
      </c>
      <c r="F501">
        <v>18302</v>
      </c>
      <c r="G501">
        <v>18302</v>
      </c>
    </row>
    <row r="502" spans="1:7" x14ac:dyDescent="0.25">
      <c r="A502" t="s">
        <v>1566</v>
      </c>
      <c r="B502" t="s">
        <v>1551</v>
      </c>
      <c r="C502" t="s">
        <v>1558</v>
      </c>
      <c r="D502" t="s">
        <v>1562</v>
      </c>
      <c r="E502">
        <v>7</v>
      </c>
      <c r="F502">
        <v>22347</v>
      </c>
      <c r="G502">
        <v>156429</v>
      </c>
    </row>
    <row r="503" spans="1:7" x14ac:dyDescent="0.25">
      <c r="A503" t="s">
        <v>1555</v>
      </c>
      <c r="B503" t="s">
        <v>1561</v>
      </c>
      <c r="C503" t="s">
        <v>1557</v>
      </c>
      <c r="D503" t="s">
        <v>1568</v>
      </c>
      <c r="E503">
        <v>6</v>
      </c>
      <c r="F503">
        <v>26994</v>
      </c>
      <c r="G503">
        <v>161964</v>
      </c>
    </row>
    <row r="504" spans="1:7" x14ac:dyDescent="0.25">
      <c r="A504" t="s">
        <v>1566</v>
      </c>
      <c r="B504" t="s">
        <v>1559</v>
      </c>
      <c r="C504" t="s">
        <v>1550</v>
      </c>
      <c r="D504" t="s">
        <v>1553</v>
      </c>
      <c r="E504">
        <v>4</v>
      </c>
      <c r="F504">
        <v>15312</v>
      </c>
      <c r="G504">
        <v>61248</v>
      </c>
    </row>
    <row r="505" spans="1:7" x14ac:dyDescent="0.25">
      <c r="A505" t="s">
        <v>1552</v>
      </c>
      <c r="B505" t="s">
        <v>1567</v>
      </c>
      <c r="C505" t="s">
        <v>1557</v>
      </c>
      <c r="D505" t="s">
        <v>1553</v>
      </c>
      <c r="E505">
        <v>9</v>
      </c>
      <c r="F505">
        <v>16601</v>
      </c>
      <c r="G505">
        <v>149409</v>
      </c>
    </row>
    <row r="506" spans="1:7" x14ac:dyDescent="0.25">
      <c r="A506" t="s">
        <v>1552</v>
      </c>
      <c r="B506" t="s">
        <v>1551</v>
      </c>
      <c r="C506" t="s">
        <v>1558</v>
      </c>
      <c r="D506" t="s">
        <v>1556</v>
      </c>
      <c r="E506">
        <v>8</v>
      </c>
      <c r="F506">
        <v>16870</v>
      </c>
      <c r="G506">
        <v>134960</v>
      </c>
    </row>
    <row r="507" spans="1:7" x14ac:dyDescent="0.25">
      <c r="A507" t="s">
        <v>1566</v>
      </c>
      <c r="B507" t="s">
        <v>1551</v>
      </c>
      <c r="C507" t="s">
        <v>1565</v>
      </c>
      <c r="D507" t="s">
        <v>1549</v>
      </c>
      <c r="E507">
        <v>4</v>
      </c>
      <c r="F507">
        <v>17044</v>
      </c>
      <c r="G507">
        <v>68176</v>
      </c>
    </row>
    <row r="508" spans="1:7" x14ac:dyDescent="0.25">
      <c r="A508" t="s">
        <v>1563</v>
      </c>
      <c r="B508" t="s">
        <v>1551</v>
      </c>
      <c r="C508" t="s">
        <v>1554</v>
      </c>
      <c r="D508" t="s">
        <v>1568</v>
      </c>
      <c r="E508">
        <v>3</v>
      </c>
      <c r="F508">
        <v>29536</v>
      </c>
      <c r="G508">
        <v>88608</v>
      </c>
    </row>
    <row r="509" spans="1:7" x14ac:dyDescent="0.25">
      <c r="A509" t="s">
        <v>1552</v>
      </c>
      <c r="B509" t="s">
        <v>1567</v>
      </c>
      <c r="C509" t="s">
        <v>1565</v>
      </c>
      <c r="D509" t="s">
        <v>1549</v>
      </c>
      <c r="E509">
        <v>10</v>
      </c>
      <c r="F509">
        <v>21129</v>
      </c>
      <c r="G509">
        <v>211290</v>
      </c>
    </row>
    <row r="510" spans="1:7" x14ac:dyDescent="0.25">
      <c r="A510" t="s">
        <v>1566</v>
      </c>
      <c r="B510" t="s">
        <v>1559</v>
      </c>
      <c r="C510" t="s">
        <v>1565</v>
      </c>
      <c r="D510" t="s">
        <v>1562</v>
      </c>
      <c r="E510">
        <v>1</v>
      </c>
      <c r="F510">
        <v>29574</v>
      </c>
      <c r="G510">
        <v>29574</v>
      </c>
    </row>
    <row r="511" spans="1:7" x14ac:dyDescent="0.25">
      <c r="A511" t="s">
        <v>1555</v>
      </c>
      <c r="B511" t="s">
        <v>1559</v>
      </c>
      <c r="C511" t="s">
        <v>1550</v>
      </c>
      <c r="D511" t="s">
        <v>1553</v>
      </c>
      <c r="E511">
        <v>2</v>
      </c>
      <c r="F511">
        <v>14481</v>
      </c>
      <c r="G511">
        <v>28962</v>
      </c>
    </row>
    <row r="512" spans="1:7" x14ac:dyDescent="0.25">
      <c r="A512" t="s">
        <v>1555</v>
      </c>
      <c r="B512" t="s">
        <v>1561</v>
      </c>
      <c r="C512" t="s">
        <v>1557</v>
      </c>
      <c r="D512" t="s">
        <v>1549</v>
      </c>
      <c r="E512">
        <v>4</v>
      </c>
      <c r="F512">
        <v>6856</v>
      </c>
      <c r="G512">
        <v>27424</v>
      </c>
    </row>
    <row r="513" spans="1:7" x14ac:dyDescent="0.25">
      <c r="A513" t="s">
        <v>1555</v>
      </c>
      <c r="B513" t="s">
        <v>1559</v>
      </c>
      <c r="C513" t="s">
        <v>1554</v>
      </c>
      <c r="D513" t="s">
        <v>1549</v>
      </c>
      <c r="E513">
        <v>2</v>
      </c>
      <c r="F513">
        <v>5180</v>
      </c>
      <c r="G513">
        <v>10360</v>
      </c>
    </row>
    <row r="514" spans="1:7" x14ac:dyDescent="0.25">
      <c r="A514" t="s">
        <v>1566</v>
      </c>
      <c r="B514" t="s">
        <v>1559</v>
      </c>
      <c r="C514" t="s">
        <v>1554</v>
      </c>
      <c r="D514" t="s">
        <v>1562</v>
      </c>
      <c r="E514">
        <v>5</v>
      </c>
      <c r="F514">
        <v>15704</v>
      </c>
      <c r="G514">
        <v>78520</v>
      </c>
    </row>
    <row r="515" spans="1:7" x14ac:dyDescent="0.25">
      <c r="A515" t="s">
        <v>1564</v>
      </c>
      <c r="B515" t="s">
        <v>1567</v>
      </c>
      <c r="C515" t="s">
        <v>1557</v>
      </c>
      <c r="D515" t="s">
        <v>1553</v>
      </c>
      <c r="E515">
        <v>6</v>
      </c>
      <c r="F515">
        <v>10093</v>
      </c>
      <c r="G515">
        <v>60558</v>
      </c>
    </row>
    <row r="516" spans="1:7" x14ac:dyDescent="0.25">
      <c r="A516" t="s">
        <v>1563</v>
      </c>
      <c r="B516" t="s">
        <v>1551</v>
      </c>
      <c r="C516" t="s">
        <v>1554</v>
      </c>
      <c r="D516" t="s">
        <v>1549</v>
      </c>
      <c r="E516">
        <v>7</v>
      </c>
      <c r="F516">
        <v>8721</v>
      </c>
      <c r="G516">
        <v>61047</v>
      </c>
    </row>
    <row r="517" spans="1:7" x14ac:dyDescent="0.25">
      <c r="A517" t="s">
        <v>1555</v>
      </c>
      <c r="B517" t="s">
        <v>1561</v>
      </c>
      <c r="C517" t="s">
        <v>1565</v>
      </c>
      <c r="D517" t="s">
        <v>1568</v>
      </c>
      <c r="E517">
        <v>9</v>
      </c>
      <c r="F517">
        <v>8733</v>
      </c>
      <c r="G517">
        <v>78597</v>
      </c>
    </row>
    <row r="518" spans="1:7" x14ac:dyDescent="0.25">
      <c r="A518" t="s">
        <v>1555</v>
      </c>
      <c r="B518" t="s">
        <v>1567</v>
      </c>
      <c r="C518" t="s">
        <v>1550</v>
      </c>
      <c r="D518" t="s">
        <v>1549</v>
      </c>
      <c r="E518">
        <v>1</v>
      </c>
      <c r="F518">
        <v>5303</v>
      </c>
      <c r="G518">
        <v>5303</v>
      </c>
    </row>
    <row r="519" spans="1:7" x14ac:dyDescent="0.25">
      <c r="A519" t="s">
        <v>1555</v>
      </c>
      <c r="B519" t="s">
        <v>1567</v>
      </c>
      <c r="C519" t="s">
        <v>1565</v>
      </c>
      <c r="D519" t="s">
        <v>1568</v>
      </c>
      <c r="E519">
        <v>9</v>
      </c>
      <c r="F519">
        <v>10212</v>
      </c>
      <c r="G519">
        <v>91908</v>
      </c>
    </row>
    <row r="520" spans="1:7" x14ac:dyDescent="0.25">
      <c r="A520" t="s">
        <v>1566</v>
      </c>
      <c r="B520" t="s">
        <v>1561</v>
      </c>
      <c r="C520" t="s">
        <v>1554</v>
      </c>
      <c r="D520" t="s">
        <v>1553</v>
      </c>
      <c r="E520">
        <v>4</v>
      </c>
      <c r="F520">
        <v>28787</v>
      </c>
      <c r="G520">
        <v>115148</v>
      </c>
    </row>
    <row r="521" spans="1:7" x14ac:dyDescent="0.25">
      <c r="A521" t="s">
        <v>1555</v>
      </c>
      <c r="B521" t="s">
        <v>1559</v>
      </c>
      <c r="C521" t="s">
        <v>1558</v>
      </c>
      <c r="D521" t="s">
        <v>1560</v>
      </c>
      <c r="E521">
        <v>2</v>
      </c>
      <c r="F521">
        <v>11505</v>
      </c>
      <c r="G521">
        <v>23010</v>
      </c>
    </row>
    <row r="522" spans="1:7" x14ac:dyDescent="0.25">
      <c r="A522" t="s">
        <v>1552</v>
      </c>
      <c r="B522" t="s">
        <v>1551</v>
      </c>
      <c r="C522" t="s">
        <v>1558</v>
      </c>
      <c r="D522" t="s">
        <v>1560</v>
      </c>
      <c r="E522">
        <v>10</v>
      </c>
      <c r="F522">
        <v>27690</v>
      </c>
      <c r="G522">
        <v>276900</v>
      </c>
    </row>
    <row r="523" spans="1:7" x14ac:dyDescent="0.25">
      <c r="A523" t="s">
        <v>1552</v>
      </c>
      <c r="B523" t="s">
        <v>1561</v>
      </c>
      <c r="C523" t="s">
        <v>1554</v>
      </c>
      <c r="D523" t="s">
        <v>1568</v>
      </c>
      <c r="E523">
        <v>8</v>
      </c>
      <c r="F523">
        <v>3507</v>
      </c>
      <c r="G523">
        <v>28056</v>
      </c>
    </row>
    <row r="524" spans="1:7" x14ac:dyDescent="0.25">
      <c r="A524" t="s">
        <v>1566</v>
      </c>
      <c r="B524" t="s">
        <v>1559</v>
      </c>
      <c r="C524" t="s">
        <v>1554</v>
      </c>
      <c r="D524" t="s">
        <v>1556</v>
      </c>
      <c r="E524">
        <v>7</v>
      </c>
      <c r="F524">
        <v>5029</v>
      </c>
      <c r="G524">
        <v>35203</v>
      </c>
    </row>
    <row r="525" spans="1:7" x14ac:dyDescent="0.25">
      <c r="A525" t="s">
        <v>1564</v>
      </c>
      <c r="B525" t="s">
        <v>1551</v>
      </c>
      <c r="C525" t="s">
        <v>1550</v>
      </c>
      <c r="D525" t="s">
        <v>1562</v>
      </c>
      <c r="E525">
        <v>4</v>
      </c>
      <c r="F525">
        <v>3081</v>
      </c>
      <c r="G525">
        <v>12324</v>
      </c>
    </row>
    <row r="526" spans="1:7" x14ac:dyDescent="0.25">
      <c r="A526" t="s">
        <v>1555</v>
      </c>
      <c r="B526" t="s">
        <v>1559</v>
      </c>
      <c r="C526" t="s">
        <v>1558</v>
      </c>
      <c r="D526" t="s">
        <v>1553</v>
      </c>
      <c r="E526">
        <v>9</v>
      </c>
      <c r="F526">
        <v>3479</v>
      </c>
      <c r="G526">
        <v>31311</v>
      </c>
    </row>
    <row r="527" spans="1:7" x14ac:dyDescent="0.25">
      <c r="A527" t="s">
        <v>1566</v>
      </c>
      <c r="B527" t="s">
        <v>1567</v>
      </c>
      <c r="C527" t="s">
        <v>1565</v>
      </c>
      <c r="D527" t="s">
        <v>1549</v>
      </c>
      <c r="E527">
        <v>10</v>
      </c>
      <c r="F527">
        <v>1359</v>
      </c>
      <c r="G527">
        <v>13590</v>
      </c>
    </row>
    <row r="528" spans="1:7" x14ac:dyDescent="0.25">
      <c r="A528" t="s">
        <v>1563</v>
      </c>
      <c r="B528" t="s">
        <v>1561</v>
      </c>
      <c r="C528" t="s">
        <v>1558</v>
      </c>
      <c r="D528" t="s">
        <v>1553</v>
      </c>
      <c r="E528">
        <v>6</v>
      </c>
      <c r="F528">
        <v>17080</v>
      </c>
      <c r="G528">
        <v>102480</v>
      </c>
    </row>
    <row r="529" spans="1:7" x14ac:dyDescent="0.25">
      <c r="A529" t="s">
        <v>1566</v>
      </c>
      <c r="B529" t="s">
        <v>1567</v>
      </c>
      <c r="C529" t="s">
        <v>1554</v>
      </c>
      <c r="D529" t="s">
        <v>1553</v>
      </c>
      <c r="E529">
        <v>9</v>
      </c>
      <c r="F529">
        <v>20095</v>
      </c>
      <c r="G529">
        <v>180855</v>
      </c>
    </row>
    <row r="530" spans="1:7" x14ac:dyDescent="0.25">
      <c r="A530" t="s">
        <v>1555</v>
      </c>
      <c r="B530" t="s">
        <v>1551</v>
      </c>
      <c r="C530" t="s">
        <v>1550</v>
      </c>
      <c r="D530" t="s">
        <v>1556</v>
      </c>
      <c r="E530">
        <v>3</v>
      </c>
      <c r="F530">
        <v>20521</v>
      </c>
      <c r="G530">
        <v>61563</v>
      </c>
    </row>
    <row r="531" spans="1:7" x14ac:dyDescent="0.25">
      <c r="A531" t="s">
        <v>1566</v>
      </c>
      <c r="B531" t="s">
        <v>1559</v>
      </c>
      <c r="C531" t="s">
        <v>1550</v>
      </c>
      <c r="D531" t="s">
        <v>1549</v>
      </c>
      <c r="E531">
        <v>9</v>
      </c>
      <c r="F531">
        <v>18200</v>
      </c>
      <c r="G531">
        <v>163800</v>
      </c>
    </row>
    <row r="532" spans="1:7" x14ac:dyDescent="0.25">
      <c r="A532" t="s">
        <v>1563</v>
      </c>
      <c r="B532" t="s">
        <v>1551</v>
      </c>
      <c r="C532" t="s">
        <v>1557</v>
      </c>
      <c r="D532" t="s">
        <v>1562</v>
      </c>
      <c r="E532">
        <v>5</v>
      </c>
      <c r="F532">
        <v>12016</v>
      </c>
      <c r="G532">
        <v>60080</v>
      </c>
    </row>
    <row r="533" spans="1:7" x14ac:dyDescent="0.25">
      <c r="A533" t="s">
        <v>1564</v>
      </c>
      <c r="B533" t="s">
        <v>1567</v>
      </c>
      <c r="C533" t="s">
        <v>1558</v>
      </c>
      <c r="D533" t="s">
        <v>1568</v>
      </c>
      <c r="E533">
        <v>2</v>
      </c>
      <c r="F533">
        <v>16551</v>
      </c>
      <c r="G533">
        <v>33102</v>
      </c>
    </row>
    <row r="534" spans="1:7" x14ac:dyDescent="0.25">
      <c r="A534" t="s">
        <v>1566</v>
      </c>
      <c r="B534" t="s">
        <v>1561</v>
      </c>
      <c r="C534" t="s">
        <v>1558</v>
      </c>
      <c r="D534" t="s">
        <v>1560</v>
      </c>
      <c r="E534">
        <v>6</v>
      </c>
      <c r="F534">
        <v>23644</v>
      </c>
      <c r="G534">
        <v>141864</v>
      </c>
    </row>
    <row r="535" spans="1:7" x14ac:dyDescent="0.25">
      <c r="A535" t="s">
        <v>1563</v>
      </c>
      <c r="B535" t="s">
        <v>1567</v>
      </c>
      <c r="C535" t="s">
        <v>1554</v>
      </c>
      <c r="D535" t="s">
        <v>1562</v>
      </c>
      <c r="E535">
        <v>1</v>
      </c>
      <c r="F535">
        <v>20307</v>
      </c>
      <c r="G535">
        <v>20307</v>
      </c>
    </row>
    <row r="536" spans="1:7" x14ac:dyDescent="0.25">
      <c r="A536" t="s">
        <v>1552</v>
      </c>
      <c r="B536" t="s">
        <v>1551</v>
      </c>
      <c r="C536" t="s">
        <v>1550</v>
      </c>
      <c r="D536" t="s">
        <v>1556</v>
      </c>
      <c r="E536">
        <v>5</v>
      </c>
      <c r="F536">
        <v>4205</v>
      </c>
      <c r="G536">
        <v>21025</v>
      </c>
    </row>
    <row r="537" spans="1:7" x14ac:dyDescent="0.25">
      <c r="A537" t="s">
        <v>1563</v>
      </c>
      <c r="B537" t="s">
        <v>1551</v>
      </c>
      <c r="C537" t="s">
        <v>1558</v>
      </c>
      <c r="D537" t="s">
        <v>1556</v>
      </c>
      <c r="E537">
        <v>10</v>
      </c>
      <c r="F537">
        <v>1904</v>
      </c>
      <c r="G537">
        <v>19040</v>
      </c>
    </row>
    <row r="538" spans="1:7" x14ac:dyDescent="0.25">
      <c r="A538" t="s">
        <v>1555</v>
      </c>
      <c r="B538" t="s">
        <v>1561</v>
      </c>
      <c r="C538" t="s">
        <v>1550</v>
      </c>
      <c r="D538" t="s">
        <v>1562</v>
      </c>
      <c r="E538">
        <v>7</v>
      </c>
      <c r="F538">
        <v>17199</v>
      </c>
      <c r="G538">
        <v>120393</v>
      </c>
    </row>
    <row r="539" spans="1:7" x14ac:dyDescent="0.25">
      <c r="A539" t="s">
        <v>1563</v>
      </c>
      <c r="B539" t="s">
        <v>1561</v>
      </c>
      <c r="C539" t="s">
        <v>1554</v>
      </c>
      <c r="D539" t="s">
        <v>1556</v>
      </c>
      <c r="E539">
        <v>7</v>
      </c>
      <c r="F539">
        <v>7607</v>
      </c>
      <c r="G539">
        <v>53249</v>
      </c>
    </row>
    <row r="540" spans="1:7" x14ac:dyDescent="0.25">
      <c r="A540" t="s">
        <v>1566</v>
      </c>
      <c r="B540" t="s">
        <v>1567</v>
      </c>
      <c r="C540" t="s">
        <v>1557</v>
      </c>
      <c r="D540" t="s">
        <v>1562</v>
      </c>
      <c r="E540">
        <v>2</v>
      </c>
      <c r="F540">
        <v>17461</v>
      </c>
      <c r="G540">
        <v>34922</v>
      </c>
    </row>
    <row r="541" spans="1:7" x14ac:dyDescent="0.25">
      <c r="A541" t="s">
        <v>1564</v>
      </c>
      <c r="B541" t="s">
        <v>1561</v>
      </c>
      <c r="C541" t="s">
        <v>1554</v>
      </c>
      <c r="D541" t="s">
        <v>1549</v>
      </c>
      <c r="E541">
        <v>7</v>
      </c>
      <c r="F541">
        <v>1522</v>
      </c>
      <c r="G541">
        <v>10654</v>
      </c>
    </row>
    <row r="542" spans="1:7" x14ac:dyDescent="0.25">
      <c r="A542" t="s">
        <v>1566</v>
      </c>
      <c r="B542" t="s">
        <v>1567</v>
      </c>
      <c r="C542" t="s">
        <v>1550</v>
      </c>
      <c r="D542" t="s">
        <v>1562</v>
      </c>
      <c r="E542">
        <v>8</v>
      </c>
      <c r="F542">
        <v>12012</v>
      </c>
      <c r="G542">
        <v>96096</v>
      </c>
    </row>
    <row r="543" spans="1:7" x14ac:dyDescent="0.25">
      <c r="A543" t="s">
        <v>1564</v>
      </c>
      <c r="B543" t="s">
        <v>1567</v>
      </c>
      <c r="C543" t="s">
        <v>1554</v>
      </c>
      <c r="D543" t="s">
        <v>1568</v>
      </c>
      <c r="E543">
        <v>7</v>
      </c>
      <c r="F543">
        <v>29967</v>
      </c>
      <c r="G543">
        <v>209769</v>
      </c>
    </row>
    <row r="544" spans="1:7" x14ac:dyDescent="0.25">
      <c r="A544" t="s">
        <v>1555</v>
      </c>
      <c r="B544" t="s">
        <v>1561</v>
      </c>
      <c r="C544" t="s">
        <v>1550</v>
      </c>
      <c r="D544" t="s">
        <v>1568</v>
      </c>
      <c r="E544">
        <v>4</v>
      </c>
      <c r="F544">
        <v>16659</v>
      </c>
      <c r="G544">
        <v>66636</v>
      </c>
    </row>
    <row r="545" spans="1:7" x14ac:dyDescent="0.25">
      <c r="A545" t="s">
        <v>1564</v>
      </c>
      <c r="B545" t="s">
        <v>1559</v>
      </c>
      <c r="C545" t="s">
        <v>1557</v>
      </c>
      <c r="D545" t="s">
        <v>1556</v>
      </c>
      <c r="E545">
        <v>4</v>
      </c>
      <c r="F545">
        <v>12601</v>
      </c>
      <c r="G545">
        <v>50404</v>
      </c>
    </row>
    <row r="546" spans="1:7" x14ac:dyDescent="0.25">
      <c r="A546" t="s">
        <v>1552</v>
      </c>
      <c r="B546" t="s">
        <v>1559</v>
      </c>
      <c r="C546" t="s">
        <v>1557</v>
      </c>
      <c r="D546" t="s">
        <v>1553</v>
      </c>
      <c r="E546">
        <v>9</v>
      </c>
      <c r="F546">
        <v>29369</v>
      </c>
      <c r="G546">
        <v>264321</v>
      </c>
    </row>
    <row r="547" spans="1:7" x14ac:dyDescent="0.25">
      <c r="A547" t="s">
        <v>1552</v>
      </c>
      <c r="B547" t="s">
        <v>1567</v>
      </c>
      <c r="C547" t="s">
        <v>1550</v>
      </c>
      <c r="D547" t="s">
        <v>1568</v>
      </c>
      <c r="E547">
        <v>7</v>
      </c>
      <c r="F547">
        <v>27300</v>
      </c>
      <c r="G547">
        <v>191100</v>
      </c>
    </row>
    <row r="548" spans="1:7" x14ac:dyDescent="0.25">
      <c r="A548" t="s">
        <v>1552</v>
      </c>
      <c r="B548" t="s">
        <v>1559</v>
      </c>
      <c r="C548" t="s">
        <v>1557</v>
      </c>
      <c r="D548" t="s">
        <v>1556</v>
      </c>
      <c r="E548">
        <v>6</v>
      </c>
      <c r="F548">
        <v>17212</v>
      </c>
      <c r="G548">
        <v>103272</v>
      </c>
    </row>
    <row r="549" spans="1:7" x14ac:dyDescent="0.25">
      <c r="A549" t="s">
        <v>1564</v>
      </c>
      <c r="B549" t="s">
        <v>1551</v>
      </c>
      <c r="C549" t="s">
        <v>1558</v>
      </c>
      <c r="D549" t="s">
        <v>1553</v>
      </c>
      <c r="E549">
        <v>7</v>
      </c>
      <c r="F549">
        <v>19908</v>
      </c>
      <c r="G549">
        <v>139356</v>
      </c>
    </row>
    <row r="550" spans="1:7" x14ac:dyDescent="0.25">
      <c r="A550" t="s">
        <v>1564</v>
      </c>
      <c r="B550" t="s">
        <v>1561</v>
      </c>
      <c r="C550" t="s">
        <v>1558</v>
      </c>
      <c r="D550" t="s">
        <v>1556</v>
      </c>
      <c r="E550">
        <v>9</v>
      </c>
      <c r="F550">
        <v>24642</v>
      </c>
      <c r="G550">
        <v>221778</v>
      </c>
    </row>
    <row r="551" spans="1:7" x14ac:dyDescent="0.25">
      <c r="A551" t="s">
        <v>1563</v>
      </c>
      <c r="B551" t="s">
        <v>1567</v>
      </c>
      <c r="C551" t="s">
        <v>1557</v>
      </c>
      <c r="D551" t="s">
        <v>1568</v>
      </c>
      <c r="E551">
        <v>3</v>
      </c>
      <c r="F551">
        <v>3750</v>
      </c>
      <c r="G551">
        <v>11250</v>
      </c>
    </row>
    <row r="552" spans="1:7" x14ac:dyDescent="0.25">
      <c r="A552" t="s">
        <v>1563</v>
      </c>
      <c r="B552" t="s">
        <v>1561</v>
      </c>
      <c r="C552" t="s">
        <v>1557</v>
      </c>
      <c r="D552" t="s">
        <v>1562</v>
      </c>
      <c r="E552">
        <v>3</v>
      </c>
      <c r="F552">
        <v>9490</v>
      </c>
      <c r="G552">
        <v>28470</v>
      </c>
    </row>
    <row r="553" spans="1:7" x14ac:dyDescent="0.25">
      <c r="A553" t="s">
        <v>1563</v>
      </c>
      <c r="B553" t="s">
        <v>1561</v>
      </c>
      <c r="C553" t="s">
        <v>1550</v>
      </c>
      <c r="D553" t="s">
        <v>1549</v>
      </c>
      <c r="E553">
        <v>7</v>
      </c>
      <c r="F553">
        <v>11770</v>
      </c>
      <c r="G553">
        <v>82390</v>
      </c>
    </row>
    <row r="554" spans="1:7" x14ac:dyDescent="0.25">
      <c r="A554" t="s">
        <v>1552</v>
      </c>
      <c r="B554" t="s">
        <v>1551</v>
      </c>
      <c r="C554" t="s">
        <v>1550</v>
      </c>
      <c r="D554" t="s">
        <v>1556</v>
      </c>
      <c r="E554">
        <v>9</v>
      </c>
      <c r="F554">
        <v>7595</v>
      </c>
      <c r="G554">
        <v>68355</v>
      </c>
    </row>
    <row r="555" spans="1:7" x14ac:dyDescent="0.25">
      <c r="A555" t="s">
        <v>1564</v>
      </c>
      <c r="B555" t="s">
        <v>1551</v>
      </c>
      <c r="C555" t="s">
        <v>1550</v>
      </c>
      <c r="D555" t="s">
        <v>1549</v>
      </c>
      <c r="E555">
        <v>7</v>
      </c>
      <c r="F555">
        <v>3648</v>
      </c>
      <c r="G555">
        <v>25536</v>
      </c>
    </row>
    <row r="556" spans="1:7" x14ac:dyDescent="0.25">
      <c r="A556" t="s">
        <v>1564</v>
      </c>
      <c r="B556" t="s">
        <v>1551</v>
      </c>
      <c r="C556" t="s">
        <v>1550</v>
      </c>
      <c r="D556" t="s">
        <v>1560</v>
      </c>
      <c r="E556">
        <v>1</v>
      </c>
      <c r="F556">
        <v>9746</v>
      </c>
      <c r="G556">
        <v>9746</v>
      </c>
    </row>
    <row r="557" spans="1:7" x14ac:dyDescent="0.25">
      <c r="A557" t="s">
        <v>1566</v>
      </c>
      <c r="B557" t="s">
        <v>1561</v>
      </c>
      <c r="C557" t="s">
        <v>1558</v>
      </c>
      <c r="D557" t="s">
        <v>1560</v>
      </c>
      <c r="E557">
        <v>8</v>
      </c>
      <c r="F557">
        <v>3117</v>
      </c>
      <c r="G557">
        <v>24936</v>
      </c>
    </row>
    <row r="558" spans="1:7" x14ac:dyDescent="0.25">
      <c r="A558" t="s">
        <v>1566</v>
      </c>
      <c r="B558" t="s">
        <v>1567</v>
      </c>
      <c r="C558" t="s">
        <v>1557</v>
      </c>
      <c r="D558" t="s">
        <v>1553</v>
      </c>
      <c r="E558">
        <v>5</v>
      </c>
      <c r="F558">
        <v>9128</v>
      </c>
      <c r="G558">
        <v>45640</v>
      </c>
    </row>
    <row r="559" spans="1:7" x14ac:dyDescent="0.25">
      <c r="A559" t="s">
        <v>1552</v>
      </c>
      <c r="B559" t="s">
        <v>1567</v>
      </c>
      <c r="C559" t="s">
        <v>1557</v>
      </c>
      <c r="D559" t="s">
        <v>1553</v>
      </c>
      <c r="E559">
        <v>6</v>
      </c>
      <c r="F559">
        <v>10090</v>
      </c>
      <c r="G559">
        <v>60540</v>
      </c>
    </row>
    <row r="560" spans="1:7" x14ac:dyDescent="0.25">
      <c r="A560" t="s">
        <v>1566</v>
      </c>
      <c r="B560" t="s">
        <v>1559</v>
      </c>
      <c r="C560" t="s">
        <v>1557</v>
      </c>
      <c r="D560" t="s">
        <v>1560</v>
      </c>
      <c r="E560">
        <v>10</v>
      </c>
      <c r="F560">
        <v>12829</v>
      </c>
      <c r="G560">
        <v>128290</v>
      </c>
    </row>
    <row r="561" spans="1:7" x14ac:dyDescent="0.25">
      <c r="A561" t="s">
        <v>1563</v>
      </c>
      <c r="B561" t="s">
        <v>1567</v>
      </c>
      <c r="C561" t="s">
        <v>1554</v>
      </c>
      <c r="D561" t="s">
        <v>1560</v>
      </c>
      <c r="E561">
        <v>8</v>
      </c>
      <c r="F561">
        <v>23226</v>
      </c>
      <c r="G561">
        <v>185808</v>
      </c>
    </row>
    <row r="562" spans="1:7" x14ac:dyDescent="0.25">
      <c r="A562" t="s">
        <v>1555</v>
      </c>
      <c r="B562" t="s">
        <v>1561</v>
      </c>
      <c r="C562" t="s">
        <v>1558</v>
      </c>
      <c r="D562" t="s">
        <v>1568</v>
      </c>
      <c r="E562">
        <v>8</v>
      </c>
      <c r="F562">
        <v>18124</v>
      </c>
      <c r="G562">
        <v>144992</v>
      </c>
    </row>
    <row r="563" spans="1:7" x14ac:dyDescent="0.25">
      <c r="A563" t="s">
        <v>1563</v>
      </c>
      <c r="B563" t="s">
        <v>1551</v>
      </c>
      <c r="C563" t="s">
        <v>1558</v>
      </c>
      <c r="D563" t="s">
        <v>1562</v>
      </c>
      <c r="E563">
        <v>6</v>
      </c>
      <c r="F563">
        <v>2900</v>
      </c>
      <c r="G563">
        <v>17400</v>
      </c>
    </row>
    <row r="564" spans="1:7" x14ac:dyDescent="0.25">
      <c r="A564" t="s">
        <v>1566</v>
      </c>
      <c r="B564" t="s">
        <v>1559</v>
      </c>
      <c r="C564" t="s">
        <v>1554</v>
      </c>
      <c r="D564" t="s">
        <v>1556</v>
      </c>
      <c r="E564">
        <v>3</v>
      </c>
      <c r="F564">
        <v>23415</v>
      </c>
      <c r="G564">
        <v>70245</v>
      </c>
    </row>
    <row r="565" spans="1:7" x14ac:dyDescent="0.25">
      <c r="A565" t="s">
        <v>1563</v>
      </c>
      <c r="B565" t="s">
        <v>1561</v>
      </c>
      <c r="C565" t="s">
        <v>1565</v>
      </c>
      <c r="D565" t="s">
        <v>1562</v>
      </c>
      <c r="E565">
        <v>1</v>
      </c>
      <c r="F565">
        <v>1092</v>
      </c>
      <c r="G565">
        <v>1092</v>
      </c>
    </row>
    <row r="566" spans="1:7" x14ac:dyDescent="0.25">
      <c r="A566" t="s">
        <v>1566</v>
      </c>
      <c r="B566" t="s">
        <v>1559</v>
      </c>
      <c r="C566" t="s">
        <v>1565</v>
      </c>
      <c r="D566" t="s">
        <v>1549</v>
      </c>
      <c r="E566">
        <v>3</v>
      </c>
      <c r="F566">
        <v>24149</v>
      </c>
      <c r="G566">
        <v>72447</v>
      </c>
    </row>
    <row r="567" spans="1:7" x14ac:dyDescent="0.25">
      <c r="A567" t="s">
        <v>1564</v>
      </c>
      <c r="B567" t="s">
        <v>1551</v>
      </c>
      <c r="C567" t="s">
        <v>1565</v>
      </c>
      <c r="D567" t="s">
        <v>1568</v>
      </c>
      <c r="E567">
        <v>10</v>
      </c>
      <c r="F567">
        <v>11315</v>
      </c>
      <c r="G567">
        <v>113150</v>
      </c>
    </row>
    <row r="568" spans="1:7" x14ac:dyDescent="0.25">
      <c r="A568" t="s">
        <v>1555</v>
      </c>
      <c r="B568" t="s">
        <v>1551</v>
      </c>
      <c r="C568" t="s">
        <v>1554</v>
      </c>
      <c r="D568" t="s">
        <v>1560</v>
      </c>
      <c r="E568">
        <v>4</v>
      </c>
      <c r="F568">
        <v>13061</v>
      </c>
      <c r="G568">
        <v>52244</v>
      </c>
    </row>
    <row r="569" spans="1:7" x14ac:dyDescent="0.25">
      <c r="A569" t="s">
        <v>1555</v>
      </c>
      <c r="B569" t="s">
        <v>1561</v>
      </c>
      <c r="C569" t="s">
        <v>1554</v>
      </c>
      <c r="D569" t="s">
        <v>1553</v>
      </c>
      <c r="E569">
        <v>7</v>
      </c>
      <c r="F569">
        <v>5643</v>
      </c>
      <c r="G569">
        <v>39501</v>
      </c>
    </row>
    <row r="570" spans="1:7" x14ac:dyDescent="0.25">
      <c r="A570" t="s">
        <v>1564</v>
      </c>
      <c r="B570" t="s">
        <v>1567</v>
      </c>
      <c r="C570" t="s">
        <v>1550</v>
      </c>
      <c r="D570" t="s">
        <v>1568</v>
      </c>
      <c r="E570">
        <v>1</v>
      </c>
      <c r="F570">
        <v>8586</v>
      </c>
      <c r="G570">
        <v>8586</v>
      </c>
    </row>
    <row r="571" spans="1:7" x14ac:dyDescent="0.25">
      <c r="A571" t="s">
        <v>1566</v>
      </c>
      <c r="B571" t="s">
        <v>1559</v>
      </c>
      <c r="C571" t="s">
        <v>1557</v>
      </c>
      <c r="D571" t="s">
        <v>1562</v>
      </c>
      <c r="E571">
        <v>8</v>
      </c>
      <c r="F571">
        <v>7299</v>
      </c>
      <c r="G571">
        <v>58392</v>
      </c>
    </row>
    <row r="572" spans="1:7" x14ac:dyDescent="0.25">
      <c r="A572" t="s">
        <v>1555</v>
      </c>
      <c r="B572" t="s">
        <v>1559</v>
      </c>
      <c r="C572" t="s">
        <v>1565</v>
      </c>
      <c r="D572" t="s">
        <v>1553</v>
      </c>
      <c r="E572">
        <v>4</v>
      </c>
      <c r="F572">
        <v>10863</v>
      </c>
      <c r="G572">
        <v>43452</v>
      </c>
    </row>
    <row r="573" spans="1:7" x14ac:dyDescent="0.25">
      <c r="A573" t="s">
        <v>1566</v>
      </c>
      <c r="B573" t="s">
        <v>1561</v>
      </c>
      <c r="C573" t="s">
        <v>1558</v>
      </c>
      <c r="D573" t="s">
        <v>1562</v>
      </c>
      <c r="E573">
        <v>4</v>
      </c>
      <c r="F573">
        <v>8293</v>
      </c>
      <c r="G573">
        <v>33172</v>
      </c>
    </row>
    <row r="574" spans="1:7" x14ac:dyDescent="0.25">
      <c r="A574" t="s">
        <v>1552</v>
      </c>
      <c r="B574" t="s">
        <v>1567</v>
      </c>
      <c r="C574" t="s">
        <v>1554</v>
      </c>
      <c r="D574" t="s">
        <v>1568</v>
      </c>
      <c r="E574">
        <v>6</v>
      </c>
      <c r="F574">
        <v>21434</v>
      </c>
      <c r="G574">
        <v>128604</v>
      </c>
    </row>
    <row r="575" spans="1:7" x14ac:dyDescent="0.25">
      <c r="A575" t="s">
        <v>1564</v>
      </c>
      <c r="B575" t="s">
        <v>1567</v>
      </c>
      <c r="C575" t="s">
        <v>1558</v>
      </c>
      <c r="D575" t="s">
        <v>1553</v>
      </c>
      <c r="E575">
        <v>5</v>
      </c>
      <c r="F575">
        <v>5786</v>
      </c>
      <c r="G575">
        <v>28930</v>
      </c>
    </row>
    <row r="576" spans="1:7" x14ac:dyDescent="0.25">
      <c r="A576" t="s">
        <v>1566</v>
      </c>
      <c r="B576" t="s">
        <v>1561</v>
      </c>
      <c r="C576" t="s">
        <v>1554</v>
      </c>
      <c r="D576" t="s">
        <v>1562</v>
      </c>
      <c r="E576">
        <v>9</v>
      </c>
      <c r="F576">
        <v>11726</v>
      </c>
      <c r="G576">
        <v>105534</v>
      </c>
    </row>
    <row r="577" spans="1:7" x14ac:dyDescent="0.25">
      <c r="A577" t="s">
        <v>1564</v>
      </c>
      <c r="B577" t="s">
        <v>1551</v>
      </c>
      <c r="C577" t="s">
        <v>1565</v>
      </c>
      <c r="D577" t="s">
        <v>1568</v>
      </c>
      <c r="E577">
        <v>10</v>
      </c>
      <c r="F577">
        <v>18259</v>
      </c>
      <c r="G577">
        <v>182590</v>
      </c>
    </row>
    <row r="578" spans="1:7" x14ac:dyDescent="0.25">
      <c r="A578" t="s">
        <v>1552</v>
      </c>
      <c r="B578" t="s">
        <v>1551</v>
      </c>
      <c r="C578" t="s">
        <v>1565</v>
      </c>
      <c r="D578" t="s">
        <v>1568</v>
      </c>
      <c r="E578">
        <v>6</v>
      </c>
      <c r="F578">
        <v>27722</v>
      </c>
      <c r="G578">
        <v>166332</v>
      </c>
    </row>
    <row r="579" spans="1:7" x14ac:dyDescent="0.25">
      <c r="A579" t="s">
        <v>1564</v>
      </c>
      <c r="B579" t="s">
        <v>1551</v>
      </c>
      <c r="C579" t="s">
        <v>1554</v>
      </c>
      <c r="D579" t="s">
        <v>1562</v>
      </c>
      <c r="E579">
        <v>1</v>
      </c>
      <c r="F579">
        <v>13354</v>
      </c>
      <c r="G579">
        <v>13354</v>
      </c>
    </row>
    <row r="580" spans="1:7" x14ac:dyDescent="0.25">
      <c r="A580" t="s">
        <v>1564</v>
      </c>
      <c r="B580" t="s">
        <v>1567</v>
      </c>
      <c r="C580" t="s">
        <v>1557</v>
      </c>
      <c r="D580" t="s">
        <v>1549</v>
      </c>
      <c r="E580">
        <v>8</v>
      </c>
      <c r="F580">
        <v>5181</v>
      </c>
      <c r="G580">
        <v>41448</v>
      </c>
    </row>
    <row r="581" spans="1:7" x14ac:dyDescent="0.25">
      <c r="A581" t="s">
        <v>1564</v>
      </c>
      <c r="B581" t="s">
        <v>1561</v>
      </c>
      <c r="C581" t="s">
        <v>1565</v>
      </c>
      <c r="D581" t="s">
        <v>1549</v>
      </c>
      <c r="E581">
        <v>10</v>
      </c>
      <c r="F581">
        <v>6404</v>
      </c>
      <c r="G581">
        <v>64040</v>
      </c>
    </row>
    <row r="582" spans="1:7" x14ac:dyDescent="0.25">
      <c r="A582" t="s">
        <v>1564</v>
      </c>
      <c r="B582" t="s">
        <v>1559</v>
      </c>
      <c r="C582" t="s">
        <v>1557</v>
      </c>
      <c r="D582" t="s">
        <v>1553</v>
      </c>
      <c r="E582">
        <v>2</v>
      </c>
      <c r="F582">
        <v>18103</v>
      </c>
      <c r="G582">
        <v>36206</v>
      </c>
    </row>
    <row r="583" spans="1:7" x14ac:dyDescent="0.25">
      <c r="A583" t="s">
        <v>1552</v>
      </c>
      <c r="B583" t="s">
        <v>1559</v>
      </c>
      <c r="C583" t="s">
        <v>1550</v>
      </c>
      <c r="D583" t="s">
        <v>1568</v>
      </c>
      <c r="E583">
        <v>6</v>
      </c>
      <c r="F583">
        <v>16323</v>
      </c>
      <c r="G583">
        <v>97938</v>
      </c>
    </row>
    <row r="584" spans="1:7" x14ac:dyDescent="0.25">
      <c r="A584" t="s">
        <v>1552</v>
      </c>
      <c r="B584" t="s">
        <v>1567</v>
      </c>
      <c r="C584" t="s">
        <v>1565</v>
      </c>
      <c r="D584" t="s">
        <v>1568</v>
      </c>
      <c r="E584">
        <v>5</v>
      </c>
      <c r="F584">
        <v>14232</v>
      </c>
      <c r="G584">
        <v>71160</v>
      </c>
    </row>
    <row r="585" spans="1:7" x14ac:dyDescent="0.25">
      <c r="A585" t="s">
        <v>1563</v>
      </c>
      <c r="B585" t="s">
        <v>1559</v>
      </c>
      <c r="C585" t="s">
        <v>1550</v>
      </c>
      <c r="D585" t="s">
        <v>1568</v>
      </c>
      <c r="E585">
        <v>8</v>
      </c>
      <c r="F585">
        <v>18841</v>
      </c>
      <c r="G585">
        <v>150728</v>
      </c>
    </row>
    <row r="586" spans="1:7" x14ac:dyDescent="0.25">
      <c r="A586" t="s">
        <v>1566</v>
      </c>
      <c r="B586" t="s">
        <v>1567</v>
      </c>
      <c r="C586" t="s">
        <v>1557</v>
      </c>
      <c r="D586" t="s">
        <v>1556</v>
      </c>
      <c r="E586">
        <v>1</v>
      </c>
      <c r="F586">
        <v>7497</v>
      </c>
      <c r="G586">
        <v>7497</v>
      </c>
    </row>
    <row r="587" spans="1:7" x14ac:dyDescent="0.25">
      <c r="A587" t="s">
        <v>1564</v>
      </c>
      <c r="B587" t="s">
        <v>1551</v>
      </c>
      <c r="C587" t="s">
        <v>1557</v>
      </c>
      <c r="D587" t="s">
        <v>1560</v>
      </c>
      <c r="E587">
        <v>3</v>
      </c>
      <c r="F587">
        <v>24040</v>
      </c>
      <c r="G587">
        <v>72120</v>
      </c>
    </row>
    <row r="588" spans="1:7" x14ac:dyDescent="0.25">
      <c r="A588" t="s">
        <v>1555</v>
      </c>
      <c r="B588" t="s">
        <v>1561</v>
      </c>
      <c r="C588" t="s">
        <v>1554</v>
      </c>
      <c r="D588" t="s">
        <v>1553</v>
      </c>
      <c r="E588">
        <v>3</v>
      </c>
      <c r="F588">
        <v>5756</v>
      </c>
      <c r="G588">
        <v>17268</v>
      </c>
    </row>
    <row r="589" spans="1:7" x14ac:dyDescent="0.25">
      <c r="A589" t="s">
        <v>1555</v>
      </c>
      <c r="B589" t="s">
        <v>1551</v>
      </c>
      <c r="C589" t="s">
        <v>1557</v>
      </c>
      <c r="D589" t="s">
        <v>1568</v>
      </c>
      <c r="E589">
        <v>8</v>
      </c>
      <c r="F589">
        <v>11876</v>
      </c>
      <c r="G589">
        <v>95008</v>
      </c>
    </row>
    <row r="590" spans="1:7" x14ac:dyDescent="0.25">
      <c r="A590" t="s">
        <v>1563</v>
      </c>
      <c r="B590" t="s">
        <v>1567</v>
      </c>
      <c r="C590" t="s">
        <v>1558</v>
      </c>
      <c r="D590" t="s">
        <v>1549</v>
      </c>
      <c r="E590">
        <v>1</v>
      </c>
      <c r="F590">
        <v>4886</v>
      </c>
      <c r="G590">
        <v>4886</v>
      </c>
    </row>
    <row r="591" spans="1:7" x14ac:dyDescent="0.25">
      <c r="A591" t="s">
        <v>1563</v>
      </c>
      <c r="B591" t="s">
        <v>1567</v>
      </c>
      <c r="C591" t="s">
        <v>1565</v>
      </c>
      <c r="D591" t="s">
        <v>1556</v>
      </c>
      <c r="E591">
        <v>3</v>
      </c>
      <c r="F591">
        <v>17479</v>
      </c>
      <c r="G591">
        <v>52437</v>
      </c>
    </row>
    <row r="592" spans="1:7" x14ac:dyDescent="0.25">
      <c r="A592" t="s">
        <v>1555</v>
      </c>
      <c r="B592" t="s">
        <v>1551</v>
      </c>
      <c r="C592" t="s">
        <v>1557</v>
      </c>
      <c r="D592" t="s">
        <v>1568</v>
      </c>
      <c r="E592">
        <v>7</v>
      </c>
      <c r="F592">
        <v>6277</v>
      </c>
      <c r="G592">
        <v>43939</v>
      </c>
    </row>
    <row r="593" spans="1:7" x14ac:dyDescent="0.25">
      <c r="A593" t="s">
        <v>1552</v>
      </c>
      <c r="B593" t="s">
        <v>1551</v>
      </c>
      <c r="C593" t="s">
        <v>1554</v>
      </c>
      <c r="D593" t="s">
        <v>1556</v>
      </c>
      <c r="E593">
        <v>1</v>
      </c>
      <c r="F593">
        <v>12321</v>
      </c>
      <c r="G593">
        <v>12321</v>
      </c>
    </row>
    <row r="594" spans="1:7" x14ac:dyDescent="0.25">
      <c r="A594" t="s">
        <v>1555</v>
      </c>
      <c r="B594" t="s">
        <v>1559</v>
      </c>
      <c r="C594" t="s">
        <v>1550</v>
      </c>
      <c r="D594" t="s">
        <v>1553</v>
      </c>
      <c r="E594">
        <v>10</v>
      </c>
      <c r="F594">
        <v>28467</v>
      </c>
      <c r="G594">
        <v>284670</v>
      </c>
    </row>
    <row r="595" spans="1:7" x14ac:dyDescent="0.25">
      <c r="A595" t="s">
        <v>1555</v>
      </c>
      <c r="B595" t="s">
        <v>1559</v>
      </c>
      <c r="C595" t="s">
        <v>1565</v>
      </c>
      <c r="D595" t="s">
        <v>1553</v>
      </c>
      <c r="E595">
        <v>5</v>
      </c>
      <c r="F595">
        <v>7459</v>
      </c>
      <c r="G595">
        <v>37295</v>
      </c>
    </row>
    <row r="596" spans="1:7" x14ac:dyDescent="0.25">
      <c r="A596" t="s">
        <v>1566</v>
      </c>
      <c r="B596" t="s">
        <v>1559</v>
      </c>
      <c r="C596" t="s">
        <v>1554</v>
      </c>
      <c r="D596" t="s">
        <v>1553</v>
      </c>
      <c r="E596">
        <v>6</v>
      </c>
      <c r="F596">
        <v>11224</v>
      </c>
      <c r="G596">
        <v>67344</v>
      </c>
    </row>
    <row r="597" spans="1:7" x14ac:dyDescent="0.25">
      <c r="A597" t="s">
        <v>1555</v>
      </c>
      <c r="B597" t="s">
        <v>1559</v>
      </c>
      <c r="C597" t="s">
        <v>1557</v>
      </c>
      <c r="D597" t="s">
        <v>1568</v>
      </c>
      <c r="E597">
        <v>9</v>
      </c>
      <c r="F597">
        <v>10287</v>
      </c>
      <c r="G597">
        <v>92583</v>
      </c>
    </row>
    <row r="598" spans="1:7" x14ac:dyDescent="0.25">
      <c r="A598" t="s">
        <v>1564</v>
      </c>
      <c r="B598" t="s">
        <v>1567</v>
      </c>
      <c r="C598" t="s">
        <v>1550</v>
      </c>
      <c r="D598" t="s">
        <v>1553</v>
      </c>
      <c r="E598">
        <v>8</v>
      </c>
      <c r="F598">
        <v>25401</v>
      </c>
      <c r="G598">
        <v>203208</v>
      </c>
    </row>
    <row r="599" spans="1:7" x14ac:dyDescent="0.25">
      <c r="A599" t="s">
        <v>1563</v>
      </c>
      <c r="B599" t="s">
        <v>1567</v>
      </c>
      <c r="C599" t="s">
        <v>1550</v>
      </c>
      <c r="D599" t="s">
        <v>1568</v>
      </c>
      <c r="E599">
        <v>1</v>
      </c>
      <c r="F599">
        <v>28027</v>
      </c>
      <c r="G599">
        <v>28027</v>
      </c>
    </row>
    <row r="600" spans="1:7" x14ac:dyDescent="0.25">
      <c r="A600" t="s">
        <v>1564</v>
      </c>
      <c r="B600" t="s">
        <v>1561</v>
      </c>
      <c r="C600" t="s">
        <v>1558</v>
      </c>
      <c r="D600" t="s">
        <v>1556</v>
      </c>
      <c r="E600">
        <v>3</v>
      </c>
      <c r="F600">
        <v>13875</v>
      </c>
      <c r="G600">
        <v>41625</v>
      </c>
    </row>
    <row r="601" spans="1:7" x14ac:dyDescent="0.25">
      <c r="A601" t="s">
        <v>1555</v>
      </c>
      <c r="B601" t="s">
        <v>1559</v>
      </c>
      <c r="C601" t="s">
        <v>1550</v>
      </c>
      <c r="D601" t="s">
        <v>1568</v>
      </c>
      <c r="E601">
        <v>5</v>
      </c>
      <c r="F601">
        <v>6123</v>
      </c>
      <c r="G601">
        <v>30615</v>
      </c>
    </row>
    <row r="602" spans="1:7" x14ac:dyDescent="0.25">
      <c r="A602" t="s">
        <v>1564</v>
      </c>
      <c r="B602" t="s">
        <v>1559</v>
      </c>
      <c r="C602" t="s">
        <v>1558</v>
      </c>
      <c r="D602" t="s">
        <v>1553</v>
      </c>
      <c r="E602">
        <v>8</v>
      </c>
      <c r="F602">
        <v>22932</v>
      </c>
      <c r="G602">
        <v>183456</v>
      </c>
    </row>
    <row r="603" spans="1:7" x14ac:dyDescent="0.25">
      <c r="A603" t="s">
        <v>1555</v>
      </c>
      <c r="B603" t="s">
        <v>1551</v>
      </c>
      <c r="C603" t="s">
        <v>1565</v>
      </c>
      <c r="D603" t="s">
        <v>1568</v>
      </c>
      <c r="E603">
        <v>4</v>
      </c>
      <c r="F603">
        <v>21160</v>
      </c>
      <c r="G603">
        <v>84640</v>
      </c>
    </row>
    <row r="604" spans="1:7" x14ac:dyDescent="0.25">
      <c r="A604" t="s">
        <v>1566</v>
      </c>
      <c r="B604" t="s">
        <v>1551</v>
      </c>
      <c r="C604" t="s">
        <v>1558</v>
      </c>
      <c r="D604" t="s">
        <v>1568</v>
      </c>
      <c r="E604">
        <v>1</v>
      </c>
      <c r="F604">
        <v>20548</v>
      </c>
      <c r="G604">
        <v>20548</v>
      </c>
    </row>
    <row r="605" spans="1:7" x14ac:dyDescent="0.25">
      <c r="A605" t="s">
        <v>1566</v>
      </c>
      <c r="B605" t="s">
        <v>1561</v>
      </c>
      <c r="C605" t="s">
        <v>1557</v>
      </c>
      <c r="D605" t="s">
        <v>1568</v>
      </c>
      <c r="E605">
        <v>5</v>
      </c>
      <c r="F605">
        <v>27379</v>
      </c>
      <c r="G605">
        <v>136895</v>
      </c>
    </row>
    <row r="606" spans="1:7" x14ac:dyDescent="0.25">
      <c r="A606" t="s">
        <v>1566</v>
      </c>
      <c r="B606" t="s">
        <v>1561</v>
      </c>
      <c r="C606" t="s">
        <v>1550</v>
      </c>
      <c r="D606" t="s">
        <v>1568</v>
      </c>
      <c r="E606">
        <v>2</v>
      </c>
      <c r="F606">
        <v>9861</v>
      </c>
      <c r="G606">
        <v>19722</v>
      </c>
    </row>
    <row r="607" spans="1:7" x14ac:dyDescent="0.25">
      <c r="A607" t="s">
        <v>1564</v>
      </c>
      <c r="B607" t="s">
        <v>1567</v>
      </c>
      <c r="C607" t="s">
        <v>1550</v>
      </c>
      <c r="D607" t="s">
        <v>1549</v>
      </c>
      <c r="E607">
        <v>2</v>
      </c>
      <c r="F607">
        <v>24289</v>
      </c>
      <c r="G607">
        <v>48578</v>
      </c>
    </row>
    <row r="608" spans="1:7" x14ac:dyDescent="0.25">
      <c r="A608" t="s">
        <v>1564</v>
      </c>
      <c r="B608" t="s">
        <v>1551</v>
      </c>
      <c r="C608" t="s">
        <v>1558</v>
      </c>
      <c r="D608" t="s">
        <v>1556</v>
      </c>
      <c r="E608">
        <v>7</v>
      </c>
      <c r="F608">
        <v>4413</v>
      </c>
      <c r="G608">
        <v>30891</v>
      </c>
    </row>
    <row r="609" spans="1:7" x14ac:dyDescent="0.25">
      <c r="A609" t="s">
        <v>1552</v>
      </c>
      <c r="B609" t="s">
        <v>1551</v>
      </c>
      <c r="C609" t="s">
        <v>1558</v>
      </c>
      <c r="D609" t="s">
        <v>1560</v>
      </c>
      <c r="E609">
        <v>4</v>
      </c>
      <c r="F609">
        <v>6646</v>
      </c>
      <c r="G609">
        <v>26584</v>
      </c>
    </row>
    <row r="610" spans="1:7" x14ac:dyDescent="0.25">
      <c r="A610" t="s">
        <v>1563</v>
      </c>
      <c r="B610" t="s">
        <v>1567</v>
      </c>
      <c r="C610" t="s">
        <v>1557</v>
      </c>
      <c r="D610" t="s">
        <v>1568</v>
      </c>
      <c r="E610">
        <v>10</v>
      </c>
      <c r="F610">
        <v>17496</v>
      </c>
      <c r="G610">
        <v>174960</v>
      </c>
    </row>
    <row r="611" spans="1:7" x14ac:dyDescent="0.25">
      <c r="A611" t="s">
        <v>1564</v>
      </c>
      <c r="B611" t="s">
        <v>1561</v>
      </c>
      <c r="C611" t="s">
        <v>1550</v>
      </c>
      <c r="D611" t="s">
        <v>1560</v>
      </c>
      <c r="E611">
        <v>6</v>
      </c>
      <c r="F611">
        <v>25232</v>
      </c>
      <c r="G611">
        <v>151392</v>
      </c>
    </row>
    <row r="612" spans="1:7" x14ac:dyDescent="0.25">
      <c r="A612" t="s">
        <v>1566</v>
      </c>
      <c r="B612" t="s">
        <v>1559</v>
      </c>
      <c r="C612" t="s">
        <v>1554</v>
      </c>
      <c r="D612" t="s">
        <v>1560</v>
      </c>
      <c r="E612">
        <v>1</v>
      </c>
      <c r="F612">
        <v>25737</v>
      </c>
      <c r="G612">
        <v>25737</v>
      </c>
    </row>
    <row r="613" spans="1:7" x14ac:dyDescent="0.25">
      <c r="A613" t="s">
        <v>1566</v>
      </c>
      <c r="B613" t="s">
        <v>1551</v>
      </c>
      <c r="C613" t="s">
        <v>1550</v>
      </c>
      <c r="D613" t="s">
        <v>1568</v>
      </c>
      <c r="E613">
        <v>9</v>
      </c>
      <c r="F613">
        <v>21628</v>
      </c>
      <c r="G613">
        <v>194652</v>
      </c>
    </row>
    <row r="614" spans="1:7" x14ac:dyDescent="0.25">
      <c r="A614" t="s">
        <v>1555</v>
      </c>
      <c r="B614" t="s">
        <v>1559</v>
      </c>
      <c r="C614" t="s">
        <v>1557</v>
      </c>
      <c r="D614" t="s">
        <v>1553</v>
      </c>
      <c r="E614">
        <v>7</v>
      </c>
      <c r="F614">
        <v>22852</v>
      </c>
      <c r="G614">
        <v>159964</v>
      </c>
    </row>
    <row r="615" spans="1:7" x14ac:dyDescent="0.25">
      <c r="A615" t="s">
        <v>1552</v>
      </c>
      <c r="B615" t="s">
        <v>1567</v>
      </c>
      <c r="C615" t="s">
        <v>1554</v>
      </c>
      <c r="D615" t="s">
        <v>1562</v>
      </c>
      <c r="E615">
        <v>8</v>
      </c>
      <c r="F615">
        <v>10408</v>
      </c>
      <c r="G615">
        <v>83264</v>
      </c>
    </row>
    <row r="616" spans="1:7" x14ac:dyDescent="0.25">
      <c r="A616" t="s">
        <v>1566</v>
      </c>
      <c r="B616" t="s">
        <v>1559</v>
      </c>
      <c r="C616" t="s">
        <v>1558</v>
      </c>
      <c r="D616" t="s">
        <v>1553</v>
      </c>
      <c r="E616">
        <v>3</v>
      </c>
      <c r="F616">
        <v>23784</v>
      </c>
      <c r="G616">
        <v>71352</v>
      </c>
    </row>
    <row r="617" spans="1:7" x14ac:dyDescent="0.25">
      <c r="A617" t="s">
        <v>1552</v>
      </c>
      <c r="B617" t="s">
        <v>1561</v>
      </c>
      <c r="C617" t="s">
        <v>1565</v>
      </c>
      <c r="D617" t="s">
        <v>1549</v>
      </c>
      <c r="E617">
        <v>4</v>
      </c>
      <c r="F617">
        <v>1095</v>
      </c>
      <c r="G617">
        <v>4380</v>
      </c>
    </row>
    <row r="618" spans="1:7" x14ac:dyDescent="0.25">
      <c r="A618" t="s">
        <v>1564</v>
      </c>
      <c r="B618" t="s">
        <v>1559</v>
      </c>
      <c r="C618" t="s">
        <v>1565</v>
      </c>
      <c r="D618" t="s">
        <v>1568</v>
      </c>
      <c r="E618">
        <v>8</v>
      </c>
      <c r="F618">
        <v>10613</v>
      </c>
      <c r="G618">
        <v>84904</v>
      </c>
    </row>
    <row r="619" spans="1:7" x14ac:dyDescent="0.25">
      <c r="A619" t="s">
        <v>1563</v>
      </c>
      <c r="B619" t="s">
        <v>1567</v>
      </c>
      <c r="C619" t="s">
        <v>1557</v>
      </c>
      <c r="D619" t="s">
        <v>1556</v>
      </c>
      <c r="E619">
        <v>4</v>
      </c>
      <c r="F619">
        <v>28715</v>
      </c>
      <c r="G619">
        <v>114860</v>
      </c>
    </row>
    <row r="620" spans="1:7" x14ac:dyDescent="0.25">
      <c r="A620" t="s">
        <v>1552</v>
      </c>
      <c r="B620" t="s">
        <v>1559</v>
      </c>
      <c r="C620" t="s">
        <v>1557</v>
      </c>
      <c r="D620" t="s">
        <v>1549</v>
      </c>
      <c r="E620">
        <v>3</v>
      </c>
      <c r="F620">
        <v>17987</v>
      </c>
      <c r="G620">
        <v>53961</v>
      </c>
    </row>
    <row r="621" spans="1:7" x14ac:dyDescent="0.25">
      <c r="A621" t="s">
        <v>1563</v>
      </c>
      <c r="B621" t="s">
        <v>1561</v>
      </c>
      <c r="C621" t="s">
        <v>1550</v>
      </c>
      <c r="D621" t="s">
        <v>1562</v>
      </c>
      <c r="E621">
        <v>3</v>
      </c>
      <c r="F621">
        <v>14843</v>
      </c>
      <c r="G621">
        <v>44529</v>
      </c>
    </row>
    <row r="622" spans="1:7" x14ac:dyDescent="0.25">
      <c r="A622" t="s">
        <v>1563</v>
      </c>
      <c r="B622" t="s">
        <v>1551</v>
      </c>
      <c r="C622" t="s">
        <v>1557</v>
      </c>
      <c r="D622" t="s">
        <v>1562</v>
      </c>
      <c r="E622">
        <v>9</v>
      </c>
      <c r="F622">
        <v>4179</v>
      </c>
      <c r="G622">
        <v>37611</v>
      </c>
    </row>
    <row r="623" spans="1:7" x14ac:dyDescent="0.25">
      <c r="A623" t="s">
        <v>1555</v>
      </c>
      <c r="B623" t="s">
        <v>1551</v>
      </c>
      <c r="C623" t="s">
        <v>1550</v>
      </c>
      <c r="D623" t="s">
        <v>1560</v>
      </c>
      <c r="E623">
        <v>6</v>
      </c>
      <c r="F623">
        <v>9960</v>
      </c>
      <c r="G623">
        <v>59760</v>
      </c>
    </row>
    <row r="624" spans="1:7" x14ac:dyDescent="0.25">
      <c r="A624" t="s">
        <v>1566</v>
      </c>
      <c r="B624" t="s">
        <v>1561</v>
      </c>
      <c r="C624" t="s">
        <v>1550</v>
      </c>
      <c r="D624" t="s">
        <v>1556</v>
      </c>
      <c r="E624">
        <v>3</v>
      </c>
      <c r="F624">
        <v>20910</v>
      </c>
      <c r="G624">
        <v>62730</v>
      </c>
    </row>
    <row r="625" spans="1:7" x14ac:dyDescent="0.25">
      <c r="A625" t="s">
        <v>1563</v>
      </c>
      <c r="B625" t="s">
        <v>1551</v>
      </c>
      <c r="C625" t="s">
        <v>1550</v>
      </c>
      <c r="D625" t="s">
        <v>1549</v>
      </c>
      <c r="E625">
        <v>5</v>
      </c>
      <c r="F625">
        <v>12045</v>
      </c>
      <c r="G625">
        <v>60225</v>
      </c>
    </row>
    <row r="626" spans="1:7" x14ac:dyDescent="0.25">
      <c r="A626" t="s">
        <v>1555</v>
      </c>
      <c r="B626" t="s">
        <v>1567</v>
      </c>
      <c r="C626" t="s">
        <v>1554</v>
      </c>
      <c r="D626" t="s">
        <v>1562</v>
      </c>
      <c r="E626">
        <v>5</v>
      </c>
      <c r="F626">
        <v>17254</v>
      </c>
      <c r="G626">
        <v>86270</v>
      </c>
    </row>
    <row r="627" spans="1:7" x14ac:dyDescent="0.25">
      <c r="A627" t="s">
        <v>1566</v>
      </c>
      <c r="B627" t="s">
        <v>1559</v>
      </c>
      <c r="C627" t="s">
        <v>1558</v>
      </c>
      <c r="D627" t="s">
        <v>1549</v>
      </c>
      <c r="E627">
        <v>6</v>
      </c>
      <c r="F627">
        <v>4737</v>
      </c>
      <c r="G627">
        <v>28422</v>
      </c>
    </row>
    <row r="628" spans="1:7" x14ac:dyDescent="0.25">
      <c r="A628" t="s">
        <v>1552</v>
      </c>
      <c r="B628" t="s">
        <v>1551</v>
      </c>
      <c r="C628" t="s">
        <v>1554</v>
      </c>
      <c r="D628" t="s">
        <v>1568</v>
      </c>
      <c r="E628">
        <v>9</v>
      </c>
      <c r="F628">
        <v>10235</v>
      </c>
      <c r="G628">
        <v>92115</v>
      </c>
    </row>
    <row r="629" spans="1:7" x14ac:dyDescent="0.25">
      <c r="A629" t="s">
        <v>1555</v>
      </c>
      <c r="B629" t="s">
        <v>1561</v>
      </c>
      <c r="C629" t="s">
        <v>1565</v>
      </c>
      <c r="D629" t="s">
        <v>1553</v>
      </c>
      <c r="E629">
        <v>10</v>
      </c>
      <c r="F629">
        <v>28485</v>
      </c>
      <c r="G629">
        <v>284850</v>
      </c>
    </row>
    <row r="630" spans="1:7" x14ac:dyDescent="0.25">
      <c r="A630" t="s">
        <v>1566</v>
      </c>
      <c r="B630" t="s">
        <v>1551</v>
      </c>
      <c r="C630" t="s">
        <v>1550</v>
      </c>
      <c r="D630" t="s">
        <v>1568</v>
      </c>
      <c r="E630">
        <v>6</v>
      </c>
      <c r="F630">
        <v>6617</v>
      </c>
      <c r="G630">
        <v>39702</v>
      </c>
    </row>
    <row r="631" spans="1:7" x14ac:dyDescent="0.25">
      <c r="A631" t="s">
        <v>1563</v>
      </c>
      <c r="B631" t="s">
        <v>1551</v>
      </c>
      <c r="C631" t="s">
        <v>1554</v>
      </c>
      <c r="D631" t="s">
        <v>1553</v>
      </c>
      <c r="E631">
        <v>2</v>
      </c>
      <c r="F631">
        <v>15970</v>
      </c>
      <c r="G631">
        <v>31940</v>
      </c>
    </row>
    <row r="632" spans="1:7" x14ac:dyDescent="0.25">
      <c r="A632" t="s">
        <v>1566</v>
      </c>
      <c r="B632" t="s">
        <v>1561</v>
      </c>
      <c r="C632" t="s">
        <v>1558</v>
      </c>
      <c r="D632" t="s">
        <v>1562</v>
      </c>
      <c r="E632">
        <v>5</v>
      </c>
      <c r="F632">
        <v>10970</v>
      </c>
      <c r="G632">
        <v>54850</v>
      </c>
    </row>
    <row r="633" spans="1:7" x14ac:dyDescent="0.25">
      <c r="A633" t="s">
        <v>1563</v>
      </c>
      <c r="B633" t="s">
        <v>1559</v>
      </c>
      <c r="C633" t="s">
        <v>1557</v>
      </c>
      <c r="D633" t="s">
        <v>1549</v>
      </c>
      <c r="E633">
        <v>6</v>
      </c>
      <c r="F633">
        <v>28514</v>
      </c>
      <c r="G633">
        <v>171084</v>
      </c>
    </row>
    <row r="634" spans="1:7" x14ac:dyDescent="0.25">
      <c r="A634" t="s">
        <v>1566</v>
      </c>
      <c r="B634" t="s">
        <v>1567</v>
      </c>
      <c r="C634" t="s">
        <v>1557</v>
      </c>
      <c r="D634" t="s">
        <v>1553</v>
      </c>
      <c r="E634">
        <v>7</v>
      </c>
      <c r="F634">
        <v>14467</v>
      </c>
      <c r="G634">
        <v>101269</v>
      </c>
    </row>
    <row r="635" spans="1:7" x14ac:dyDescent="0.25">
      <c r="A635" t="s">
        <v>1563</v>
      </c>
      <c r="B635" t="s">
        <v>1561</v>
      </c>
      <c r="C635" t="s">
        <v>1557</v>
      </c>
      <c r="D635" t="s">
        <v>1560</v>
      </c>
      <c r="E635">
        <v>1</v>
      </c>
      <c r="F635">
        <v>13077</v>
      </c>
      <c r="G635">
        <v>13077</v>
      </c>
    </row>
    <row r="636" spans="1:7" x14ac:dyDescent="0.25">
      <c r="A636" t="s">
        <v>1563</v>
      </c>
      <c r="B636" t="s">
        <v>1559</v>
      </c>
      <c r="C636" t="s">
        <v>1550</v>
      </c>
      <c r="D636" t="s">
        <v>1562</v>
      </c>
      <c r="E636">
        <v>6</v>
      </c>
      <c r="F636">
        <v>2759</v>
      </c>
      <c r="G636">
        <v>16554</v>
      </c>
    </row>
    <row r="637" spans="1:7" x14ac:dyDescent="0.25">
      <c r="A637" t="s">
        <v>1566</v>
      </c>
      <c r="B637" t="s">
        <v>1567</v>
      </c>
      <c r="C637" t="s">
        <v>1554</v>
      </c>
      <c r="D637" t="s">
        <v>1568</v>
      </c>
      <c r="E637">
        <v>2</v>
      </c>
      <c r="F637">
        <v>10698</v>
      </c>
      <c r="G637">
        <v>21396</v>
      </c>
    </row>
    <row r="638" spans="1:7" x14ac:dyDescent="0.25">
      <c r="A638" t="s">
        <v>1555</v>
      </c>
      <c r="B638" t="s">
        <v>1561</v>
      </c>
      <c r="C638" t="s">
        <v>1558</v>
      </c>
      <c r="D638" t="s">
        <v>1560</v>
      </c>
      <c r="E638">
        <v>8</v>
      </c>
      <c r="F638">
        <v>29223</v>
      </c>
      <c r="G638">
        <v>233784</v>
      </c>
    </row>
    <row r="639" spans="1:7" x14ac:dyDescent="0.25">
      <c r="A639" t="s">
        <v>1566</v>
      </c>
      <c r="B639" t="s">
        <v>1559</v>
      </c>
      <c r="C639" t="s">
        <v>1558</v>
      </c>
      <c r="D639" t="s">
        <v>1562</v>
      </c>
      <c r="E639">
        <v>4</v>
      </c>
      <c r="F639">
        <v>22015</v>
      </c>
      <c r="G639">
        <v>88060</v>
      </c>
    </row>
    <row r="640" spans="1:7" x14ac:dyDescent="0.25">
      <c r="A640" t="s">
        <v>1552</v>
      </c>
      <c r="B640" t="s">
        <v>1551</v>
      </c>
      <c r="C640" t="s">
        <v>1558</v>
      </c>
      <c r="D640" t="s">
        <v>1556</v>
      </c>
      <c r="E640">
        <v>2</v>
      </c>
      <c r="F640">
        <v>7941</v>
      </c>
      <c r="G640">
        <v>15882</v>
      </c>
    </row>
    <row r="641" spans="1:7" x14ac:dyDescent="0.25">
      <c r="A641" t="s">
        <v>1552</v>
      </c>
      <c r="B641" t="s">
        <v>1561</v>
      </c>
      <c r="C641" t="s">
        <v>1565</v>
      </c>
      <c r="D641" t="s">
        <v>1568</v>
      </c>
      <c r="E641">
        <v>3</v>
      </c>
      <c r="F641">
        <v>5876</v>
      </c>
      <c r="G641">
        <v>17628</v>
      </c>
    </row>
    <row r="642" spans="1:7" x14ac:dyDescent="0.25">
      <c r="A642" t="s">
        <v>1552</v>
      </c>
      <c r="B642" t="s">
        <v>1561</v>
      </c>
      <c r="C642" t="s">
        <v>1565</v>
      </c>
      <c r="D642" t="s">
        <v>1556</v>
      </c>
      <c r="E642">
        <v>3</v>
      </c>
      <c r="F642">
        <v>6572</v>
      </c>
      <c r="G642">
        <v>19716</v>
      </c>
    </row>
    <row r="643" spans="1:7" x14ac:dyDescent="0.25">
      <c r="A643" t="s">
        <v>1564</v>
      </c>
      <c r="B643" t="s">
        <v>1559</v>
      </c>
      <c r="C643" t="s">
        <v>1558</v>
      </c>
      <c r="D643" t="s">
        <v>1562</v>
      </c>
      <c r="E643">
        <v>9</v>
      </c>
      <c r="F643">
        <v>4071</v>
      </c>
      <c r="G643">
        <v>36639</v>
      </c>
    </row>
    <row r="644" spans="1:7" x14ac:dyDescent="0.25">
      <c r="A644" t="s">
        <v>1566</v>
      </c>
      <c r="B644" t="s">
        <v>1551</v>
      </c>
      <c r="C644" t="s">
        <v>1558</v>
      </c>
      <c r="D644" t="s">
        <v>1562</v>
      </c>
      <c r="E644">
        <v>6</v>
      </c>
      <c r="F644">
        <v>8518</v>
      </c>
      <c r="G644">
        <v>51108</v>
      </c>
    </row>
    <row r="645" spans="1:7" x14ac:dyDescent="0.25">
      <c r="A645" t="s">
        <v>1555</v>
      </c>
      <c r="B645" t="s">
        <v>1551</v>
      </c>
      <c r="C645" t="s">
        <v>1558</v>
      </c>
      <c r="D645" t="s">
        <v>1549</v>
      </c>
      <c r="E645">
        <v>2</v>
      </c>
      <c r="F645">
        <v>3256</v>
      </c>
      <c r="G645">
        <v>6512</v>
      </c>
    </row>
    <row r="646" spans="1:7" x14ac:dyDescent="0.25">
      <c r="A646" t="s">
        <v>1564</v>
      </c>
      <c r="B646" t="s">
        <v>1561</v>
      </c>
      <c r="C646" t="s">
        <v>1565</v>
      </c>
      <c r="D646" t="s">
        <v>1556</v>
      </c>
      <c r="E646">
        <v>5</v>
      </c>
      <c r="F646">
        <v>9639</v>
      </c>
      <c r="G646">
        <v>48195</v>
      </c>
    </row>
    <row r="647" spans="1:7" x14ac:dyDescent="0.25">
      <c r="A647" t="s">
        <v>1566</v>
      </c>
      <c r="B647" t="s">
        <v>1559</v>
      </c>
      <c r="C647" t="s">
        <v>1550</v>
      </c>
      <c r="D647" t="s">
        <v>1562</v>
      </c>
      <c r="E647">
        <v>8</v>
      </c>
      <c r="F647">
        <v>6706</v>
      </c>
      <c r="G647">
        <v>53648</v>
      </c>
    </row>
    <row r="648" spans="1:7" x14ac:dyDescent="0.25">
      <c r="A648" t="s">
        <v>1564</v>
      </c>
      <c r="B648" t="s">
        <v>1551</v>
      </c>
      <c r="C648" t="s">
        <v>1550</v>
      </c>
      <c r="D648" t="s">
        <v>1560</v>
      </c>
      <c r="E648">
        <v>8</v>
      </c>
      <c r="F648">
        <v>2706</v>
      </c>
      <c r="G648">
        <v>21648</v>
      </c>
    </row>
    <row r="649" spans="1:7" x14ac:dyDescent="0.25">
      <c r="A649" t="s">
        <v>1563</v>
      </c>
      <c r="B649" t="s">
        <v>1551</v>
      </c>
      <c r="C649" t="s">
        <v>1557</v>
      </c>
      <c r="D649" t="s">
        <v>1553</v>
      </c>
      <c r="E649">
        <v>8</v>
      </c>
      <c r="F649">
        <v>28063</v>
      </c>
      <c r="G649">
        <v>224504</v>
      </c>
    </row>
    <row r="650" spans="1:7" x14ac:dyDescent="0.25">
      <c r="A650" t="s">
        <v>1563</v>
      </c>
      <c r="B650" t="s">
        <v>1567</v>
      </c>
      <c r="C650" t="s">
        <v>1554</v>
      </c>
      <c r="D650" t="s">
        <v>1562</v>
      </c>
      <c r="E650">
        <v>8</v>
      </c>
      <c r="F650">
        <v>10823</v>
      </c>
      <c r="G650">
        <v>86584</v>
      </c>
    </row>
    <row r="651" spans="1:7" x14ac:dyDescent="0.25">
      <c r="A651" t="s">
        <v>1564</v>
      </c>
      <c r="B651" t="s">
        <v>1567</v>
      </c>
      <c r="C651" t="s">
        <v>1565</v>
      </c>
      <c r="D651" t="s">
        <v>1562</v>
      </c>
      <c r="E651">
        <v>9</v>
      </c>
      <c r="F651">
        <v>19691</v>
      </c>
      <c r="G651">
        <v>177219</v>
      </c>
    </row>
    <row r="652" spans="1:7" x14ac:dyDescent="0.25">
      <c r="A652" t="s">
        <v>1564</v>
      </c>
      <c r="B652" t="s">
        <v>1567</v>
      </c>
      <c r="C652" t="s">
        <v>1550</v>
      </c>
      <c r="D652" t="s">
        <v>1568</v>
      </c>
      <c r="E652">
        <v>4</v>
      </c>
      <c r="F652">
        <v>20733</v>
      </c>
      <c r="G652">
        <v>82932</v>
      </c>
    </row>
    <row r="653" spans="1:7" x14ac:dyDescent="0.25">
      <c r="A653" t="s">
        <v>1552</v>
      </c>
      <c r="B653" t="s">
        <v>1559</v>
      </c>
      <c r="C653" t="s">
        <v>1550</v>
      </c>
      <c r="D653" t="s">
        <v>1560</v>
      </c>
      <c r="E653">
        <v>8</v>
      </c>
      <c r="F653">
        <v>28271</v>
      </c>
      <c r="G653">
        <v>226168</v>
      </c>
    </row>
    <row r="654" spans="1:7" x14ac:dyDescent="0.25">
      <c r="A654" t="s">
        <v>1563</v>
      </c>
      <c r="B654" t="s">
        <v>1567</v>
      </c>
      <c r="C654" t="s">
        <v>1557</v>
      </c>
      <c r="D654" t="s">
        <v>1556</v>
      </c>
      <c r="E654">
        <v>10</v>
      </c>
      <c r="F654">
        <v>9122</v>
      </c>
      <c r="G654">
        <v>91220</v>
      </c>
    </row>
    <row r="655" spans="1:7" x14ac:dyDescent="0.25">
      <c r="A655" t="s">
        <v>1564</v>
      </c>
      <c r="B655" t="s">
        <v>1559</v>
      </c>
      <c r="C655" t="s">
        <v>1558</v>
      </c>
      <c r="D655" t="s">
        <v>1549</v>
      </c>
      <c r="E655">
        <v>8</v>
      </c>
      <c r="F655">
        <v>18503</v>
      </c>
      <c r="G655">
        <v>148024</v>
      </c>
    </row>
    <row r="656" spans="1:7" x14ac:dyDescent="0.25">
      <c r="A656" t="s">
        <v>1563</v>
      </c>
      <c r="B656" t="s">
        <v>1567</v>
      </c>
      <c r="C656" t="s">
        <v>1558</v>
      </c>
      <c r="D656" t="s">
        <v>1549</v>
      </c>
      <c r="E656">
        <v>1</v>
      </c>
      <c r="F656">
        <v>8022</v>
      </c>
      <c r="G656">
        <v>8022</v>
      </c>
    </row>
    <row r="657" spans="1:7" x14ac:dyDescent="0.25">
      <c r="A657" t="s">
        <v>1552</v>
      </c>
      <c r="B657" t="s">
        <v>1559</v>
      </c>
      <c r="C657" t="s">
        <v>1557</v>
      </c>
      <c r="D657" t="s">
        <v>1556</v>
      </c>
      <c r="E657">
        <v>4</v>
      </c>
      <c r="F657">
        <v>28312</v>
      </c>
      <c r="G657">
        <v>113248</v>
      </c>
    </row>
    <row r="658" spans="1:7" x14ac:dyDescent="0.25">
      <c r="A658" t="s">
        <v>1563</v>
      </c>
      <c r="B658" t="s">
        <v>1561</v>
      </c>
      <c r="C658" t="s">
        <v>1557</v>
      </c>
      <c r="D658" t="s">
        <v>1556</v>
      </c>
      <c r="E658">
        <v>9</v>
      </c>
      <c r="F658">
        <v>11431</v>
      </c>
      <c r="G658">
        <v>102879</v>
      </c>
    </row>
    <row r="659" spans="1:7" x14ac:dyDescent="0.25">
      <c r="A659" t="s">
        <v>1564</v>
      </c>
      <c r="B659" t="s">
        <v>1551</v>
      </c>
      <c r="C659" t="s">
        <v>1558</v>
      </c>
      <c r="D659" t="s">
        <v>1562</v>
      </c>
      <c r="E659">
        <v>1</v>
      </c>
      <c r="F659">
        <v>13678</v>
      </c>
      <c r="G659">
        <v>13678</v>
      </c>
    </row>
    <row r="660" spans="1:7" x14ac:dyDescent="0.25">
      <c r="A660" t="s">
        <v>1566</v>
      </c>
      <c r="B660" t="s">
        <v>1567</v>
      </c>
      <c r="C660" t="s">
        <v>1558</v>
      </c>
      <c r="D660" t="s">
        <v>1556</v>
      </c>
      <c r="E660">
        <v>5</v>
      </c>
      <c r="F660">
        <v>7815</v>
      </c>
      <c r="G660">
        <v>39075</v>
      </c>
    </row>
    <row r="661" spans="1:7" x14ac:dyDescent="0.25">
      <c r="A661" t="s">
        <v>1566</v>
      </c>
      <c r="B661" t="s">
        <v>1551</v>
      </c>
      <c r="C661" t="s">
        <v>1557</v>
      </c>
      <c r="D661" t="s">
        <v>1556</v>
      </c>
      <c r="E661">
        <v>4</v>
      </c>
      <c r="F661">
        <v>7704</v>
      </c>
      <c r="G661">
        <v>30816</v>
      </c>
    </row>
    <row r="662" spans="1:7" x14ac:dyDescent="0.25">
      <c r="A662" t="s">
        <v>1555</v>
      </c>
      <c r="B662" t="s">
        <v>1567</v>
      </c>
      <c r="C662" t="s">
        <v>1558</v>
      </c>
      <c r="D662" t="s">
        <v>1549</v>
      </c>
      <c r="E662">
        <v>3</v>
      </c>
      <c r="F662">
        <v>28843</v>
      </c>
      <c r="G662">
        <v>86529</v>
      </c>
    </row>
    <row r="663" spans="1:7" x14ac:dyDescent="0.25">
      <c r="A663" t="s">
        <v>1555</v>
      </c>
      <c r="B663" t="s">
        <v>1561</v>
      </c>
      <c r="C663" t="s">
        <v>1550</v>
      </c>
      <c r="D663" t="s">
        <v>1549</v>
      </c>
      <c r="E663">
        <v>7</v>
      </c>
      <c r="F663">
        <v>6927</v>
      </c>
      <c r="G663">
        <v>48489</v>
      </c>
    </row>
    <row r="664" spans="1:7" x14ac:dyDescent="0.25">
      <c r="A664" t="s">
        <v>1564</v>
      </c>
      <c r="B664" t="s">
        <v>1559</v>
      </c>
      <c r="C664" t="s">
        <v>1554</v>
      </c>
      <c r="D664" t="s">
        <v>1562</v>
      </c>
      <c r="E664">
        <v>1</v>
      </c>
      <c r="F664">
        <v>24865</v>
      </c>
      <c r="G664">
        <v>24865</v>
      </c>
    </row>
    <row r="665" spans="1:7" x14ac:dyDescent="0.25">
      <c r="A665" t="s">
        <v>1563</v>
      </c>
      <c r="B665" t="s">
        <v>1567</v>
      </c>
      <c r="C665" t="s">
        <v>1565</v>
      </c>
      <c r="D665" t="s">
        <v>1560</v>
      </c>
      <c r="E665">
        <v>9</v>
      </c>
      <c r="F665">
        <v>2169</v>
      </c>
      <c r="G665">
        <v>19521</v>
      </c>
    </row>
    <row r="666" spans="1:7" x14ac:dyDescent="0.25">
      <c r="A666" t="s">
        <v>1552</v>
      </c>
      <c r="B666" t="s">
        <v>1561</v>
      </c>
      <c r="C666" t="s">
        <v>1554</v>
      </c>
      <c r="D666" t="s">
        <v>1556</v>
      </c>
      <c r="E666">
        <v>10</v>
      </c>
      <c r="F666">
        <v>3579</v>
      </c>
      <c r="G666">
        <v>35790</v>
      </c>
    </row>
    <row r="667" spans="1:7" x14ac:dyDescent="0.25">
      <c r="A667" t="s">
        <v>1566</v>
      </c>
      <c r="B667" t="s">
        <v>1559</v>
      </c>
      <c r="C667" t="s">
        <v>1550</v>
      </c>
      <c r="D667" t="s">
        <v>1568</v>
      </c>
      <c r="E667">
        <v>5</v>
      </c>
      <c r="F667">
        <v>19027</v>
      </c>
      <c r="G667">
        <v>95135</v>
      </c>
    </row>
    <row r="668" spans="1:7" x14ac:dyDescent="0.25">
      <c r="A668" t="s">
        <v>1555</v>
      </c>
      <c r="B668" t="s">
        <v>1559</v>
      </c>
      <c r="C668" t="s">
        <v>1550</v>
      </c>
      <c r="D668" t="s">
        <v>1549</v>
      </c>
      <c r="E668">
        <v>9</v>
      </c>
      <c r="F668">
        <v>3521</v>
      </c>
      <c r="G668">
        <v>31689</v>
      </c>
    </row>
    <row r="669" spans="1:7" x14ac:dyDescent="0.25">
      <c r="A669" t="s">
        <v>1552</v>
      </c>
      <c r="B669" t="s">
        <v>1567</v>
      </c>
      <c r="C669" t="s">
        <v>1554</v>
      </c>
      <c r="D669" t="s">
        <v>1556</v>
      </c>
      <c r="E669">
        <v>5</v>
      </c>
      <c r="F669">
        <v>12058</v>
      </c>
      <c r="G669">
        <v>60290</v>
      </c>
    </row>
    <row r="670" spans="1:7" x14ac:dyDescent="0.25">
      <c r="A670" t="s">
        <v>1564</v>
      </c>
      <c r="B670" t="s">
        <v>1561</v>
      </c>
      <c r="C670" t="s">
        <v>1558</v>
      </c>
      <c r="D670" t="s">
        <v>1568</v>
      </c>
      <c r="E670">
        <v>3</v>
      </c>
      <c r="F670">
        <v>11199</v>
      </c>
      <c r="G670">
        <v>33597</v>
      </c>
    </row>
    <row r="671" spans="1:7" x14ac:dyDescent="0.25">
      <c r="A671" t="s">
        <v>1564</v>
      </c>
      <c r="B671" t="s">
        <v>1561</v>
      </c>
      <c r="C671" t="s">
        <v>1554</v>
      </c>
      <c r="D671" t="s">
        <v>1553</v>
      </c>
      <c r="E671">
        <v>4</v>
      </c>
      <c r="F671">
        <v>5618</v>
      </c>
      <c r="G671">
        <v>22472</v>
      </c>
    </row>
    <row r="672" spans="1:7" x14ac:dyDescent="0.25">
      <c r="A672" t="s">
        <v>1564</v>
      </c>
      <c r="B672" t="s">
        <v>1567</v>
      </c>
      <c r="C672" t="s">
        <v>1554</v>
      </c>
      <c r="D672" t="s">
        <v>1549</v>
      </c>
      <c r="E672">
        <v>3</v>
      </c>
      <c r="F672">
        <v>12180</v>
      </c>
      <c r="G672">
        <v>36540</v>
      </c>
    </row>
    <row r="673" spans="1:7" x14ac:dyDescent="0.25">
      <c r="A673" t="s">
        <v>1566</v>
      </c>
      <c r="B673" t="s">
        <v>1551</v>
      </c>
      <c r="C673" t="s">
        <v>1565</v>
      </c>
      <c r="D673" t="s">
        <v>1560</v>
      </c>
      <c r="E673">
        <v>1</v>
      </c>
      <c r="F673">
        <v>7567</v>
      </c>
      <c r="G673">
        <v>7567</v>
      </c>
    </row>
    <row r="674" spans="1:7" x14ac:dyDescent="0.25">
      <c r="A674" t="s">
        <v>1566</v>
      </c>
      <c r="B674" t="s">
        <v>1567</v>
      </c>
      <c r="C674" t="s">
        <v>1565</v>
      </c>
      <c r="D674" t="s">
        <v>1560</v>
      </c>
      <c r="E674">
        <v>4</v>
      </c>
      <c r="F674">
        <v>15301</v>
      </c>
      <c r="G674">
        <v>61204</v>
      </c>
    </row>
    <row r="675" spans="1:7" x14ac:dyDescent="0.25">
      <c r="A675" t="s">
        <v>1564</v>
      </c>
      <c r="B675" t="s">
        <v>1561</v>
      </c>
      <c r="C675" t="s">
        <v>1554</v>
      </c>
      <c r="D675" t="s">
        <v>1556</v>
      </c>
      <c r="E675">
        <v>7</v>
      </c>
      <c r="F675">
        <v>15227</v>
      </c>
      <c r="G675">
        <v>106589</v>
      </c>
    </row>
    <row r="676" spans="1:7" x14ac:dyDescent="0.25">
      <c r="A676" t="s">
        <v>1552</v>
      </c>
      <c r="B676" t="s">
        <v>1551</v>
      </c>
      <c r="C676" t="s">
        <v>1558</v>
      </c>
      <c r="D676" t="s">
        <v>1553</v>
      </c>
      <c r="E676">
        <v>8</v>
      </c>
      <c r="F676">
        <v>19681</v>
      </c>
      <c r="G676">
        <v>157448</v>
      </c>
    </row>
    <row r="677" spans="1:7" x14ac:dyDescent="0.25">
      <c r="A677" t="s">
        <v>1552</v>
      </c>
      <c r="B677" t="s">
        <v>1551</v>
      </c>
      <c r="C677" t="s">
        <v>1565</v>
      </c>
      <c r="D677" t="s">
        <v>1549</v>
      </c>
      <c r="E677">
        <v>4</v>
      </c>
      <c r="F677">
        <v>14235</v>
      </c>
      <c r="G677">
        <v>56940</v>
      </c>
    </row>
    <row r="678" spans="1:7" x14ac:dyDescent="0.25">
      <c r="A678" t="s">
        <v>1564</v>
      </c>
      <c r="B678" t="s">
        <v>1567</v>
      </c>
      <c r="C678" t="s">
        <v>1565</v>
      </c>
      <c r="D678" t="s">
        <v>1549</v>
      </c>
      <c r="E678">
        <v>6</v>
      </c>
      <c r="F678">
        <v>21393</v>
      </c>
      <c r="G678">
        <v>128358</v>
      </c>
    </row>
    <row r="679" spans="1:7" x14ac:dyDescent="0.25">
      <c r="A679" t="s">
        <v>1555</v>
      </c>
      <c r="B679" t="s">
        <v>1559</v>
      </c>
      <c r="C679" t="s">
        <v>1554</v>
      </c>
      <c r="D679" t="s">
        <v>1562</v>
      </c>
      <c r="E679">
        <v>1</v>
      </c>
      <c r="F679">
        <v>19733</v>
      </c>
      <c r="G679">
        <v>19733</v>
      </c>
    </row>
    <row r="680" spans="1:7" x14ac:dyDescent="0.25">
      <c r="A680" t="s">
        <v>1564</v>
      </c>
      <c r="B680" t="s">
        <v>1567</v>
      </c>
      <c r="C680" t="s">
        <v>1558</v>
      </c>
      <c r="D680" t="s">
        <v>1549</v>
      </c>
      <c r="E680">
        <v>7</v>
      </c>
      <c r="F680">
        <v>22870</v>
      </c>
      <c r="G680">
        <v>160090</v>
      </c>
    </row>
    <row r="681" spans="1:7" x14ac:dyDescent="0.25">
      <c r="A681" t="s">
        <v>1564</v>
      </c>
      <c r="B681" t="s">
        <v>1551</v>
      </c>
      <c r="C681" t="s">
        <v>1554</v>
      </c>
      <c r="D681" t="s">
        <v>1560</v>
      </c>
      <c r="E681">
        <v>3</v>
      </c>
      <c r="F681">
        <v>13481</v>
      </c>
      <c r="G681">
        <v>40443</v>
      </c>
    </row>
    <row r="682" spans="1:7" x14ac:dyDescent="0.25">
      <c r="A682" t="s">
        <v>1564</v>
      </c>
      <c r="B682" t="s">
        <v>1561</v>
      </c>
      <c r="C682" t="s">
        <v>1558</v>
      </c>
      <c r="D682" t="s">
        <v>1560</v>
      </c>
      <c r="E682">
        <v>3</v>
      </c>
      <c r="F682">
        <v>10032</v>
      </c>
      <c r="G682">
        <v>30096</v>
      </c>
    </row>
    <row r="683" spans="1:7" x14ac:dyDescent="0.25">
      <c r="A683" t="s">
        <v>1566</v>
      </c>
      <c r="B683" t="s">
        <v>1551</v>
      </c>
      <c r="C683" t="s">
        <v>1558</v>
      </c>
      <c r="D683" t="s">
        <v>1560</v>
      </c>
      <c r="E683">
        <v>10</v>
      </c>
      <c r="F683">
        <v>12686</v>
      </c>
      <c r="G683">
        <v>126860</v>
      </c>
    </row>
    <row r="684" spans="1:7" x14ac:dyDescent="0.25">
      <c r="A684" t="s">
        <v>1555</v>
      </c>
      <c r="B684" t="s">
        <v>1561</v>
      </c>
      <c r="C684" t="s">
        <v>1565</v>
      </c>
      <c r="D684" t="s">
        <v>1556</v>
      </c>
      <c r="E684">
        <v>9</v>
      </c>
      <c r="F684">
        <v>1973</v>
      </c>
      <c r="G684">
        <v>17757</v>
      </c>
    </row>
    <row r="685" spans="1:7" x14ac:dyDescent="0.25">
      <c r="A685" t="s">
        <v>1552</v>
      </c>
      <c r="B685" t="s">
        <v>1567</v>
      </c>
      <c r="C685" t="s">
        <v>1565</v>
      </c>
      <c r="D685" t="s">
        <v>1562</v>
      </c>
      <c r="E685">
        <v>3</v>
      </c>
      <c r="F685">
        <v>14969</v>
      </c>
      <c r="G685">
        <v>44907</v>
      </c>
    </row>
    <row r="686" spans="1:7" x14ac:dyDescent="0.25">
      <c r="A686" t="s">
        <v>1563</v>
      </c>
      <c r="B686" t="s">
        <v>1561</v>
      </c>
      <c r="C686" t="s">
        <v>1550</v>
      </c>
      <c r="D686" t="s">
        <v>1560</v>
      </c>
      <c r="E686">
        <v>3</v>
      </c>
      <c r="F686">
        <v>17212</v>
      </c>
      <c r="G686">
        <v>51636</v>
      </c>
    </row>
    <row r="687" spans="1:7" x14ac:dyDescent="0.25">
      <c r="A687" t="s">
        <v>1552</v>
      </c>
      <c r="B687" t="s">
        <v>1551</v>
      </c>
      <c r="C687" t="s">
        <v>1565</v>
      </c>
      <c r="D687" t="s">
        <v>1553</v>
      </c>
      <c r="E687">
        <v>2</v>
      </c>
      <c r="F687">
        <v>10325</v>
      </c>
      <c r="G687">
        <v>20650</v>
      </c>
    </row>
    <row r="688" spans="1:7" x14ac:dyDescent="0.25">
      <c r="A688" t="s">
        <v>1552</v>
      </c>
      <c r="B688" t="s">
        <v>1561</v>
      </c>
      <c r="C688" t="s">
        <v>1554</v>
      </c>
      <c r="D688" t="s">
        <v>1562</v>
      </c>
      <c r="E688">
        <v>1</v>
      </c>
      <c r="F688">
        <v>15427</v>
      </c>
      <c r="G688">
        <v>15427</v>
      </c>
    </row>
    <row r="689" spans="1:7" x14ac:dyDescent="0.25">
      <c r="A689" t="s">
        <v>1552</v>
      </c>
      <c r="B689" t="s">
        <v>1559</v>
      </c>
      <c r="C689" t="s">
        <v>1565</v>
      </c>
      <c r="D689" t="s">
        <v>1560</v>
      </c>
      <c r="E689">
        <v>1</v>
      </c>
      <c r="F689">
        <v>5908</v>
      </c>
      <c r="G689">
        <v>5908</v>
      </c>
    </row>
    <row r="690" spans="1:7" x14ac:dyDescent="0.25">
      <c r="A690" t="s">
        <v>1564</v>
      </c>
      <c r="B690" t="s">
        <v>1551</v>
      </c>
      <c r="C690" t="s">
        <v>1565</v>
      </c>
      <c r="D690" t="s">
        <v>1549</v>
      </c>
      <c r="E690">
        <v>7</v>
      </c>
      <c r="F690">
        <v>20328</v>
      </c>
      <c r="G690">
        <v>142296</v>
      </c>
    </row>
    <row r="691" spans="1:7" x14ac:dyDescent="0.25">
      <c r="A691" t="s">
        <v>1564</v>
      </c>
      <c r="B691" t="s">
        <v>1551</v>
      </c>
      <c r="C691" t="s">
        <v>1550</v>
      </c>
      <c r="D691" t="s">
        <v>1553</v>
      </c>
      <c r="E691">
        <v>3</v>
      </c>
      <c r="F691">
        <v>27682</v>
      </c>
      <c r="G691">
        <v>83046</v>
      </c>
    </row>
    <row r="692" spans="1:7" x14ac:dyDescent="0.25">
      <c r="A692" t="s">
        <v>1563</v>
      </c>
      <c r="B692" t="s">
        <v>1551</v>
      </c>
      <c r="C692" t="s">
        <v>1550</v>
      </c>
      <c r="D692" t="s">
        <v>1556</v>
      </c>
      <c r="E692">
        <v>6</v>
      </c>
      <c r="F692">
        <v>9127</v>
      </c>
      <c r="G692">
        <v>54762</v>
      </c>
    </row>
    <row r="693" spans="1:7" x14ac:dyDescent="0.25">
      <c r="A693" t="s">
        <v>1552</v>
      </c>
      <c r="B693" t="s">
        <v>1561</v>
      </c>
      <c r="C693" t="s">
        <v>1557</v>
      </c>
      <c r="D693" t="s">
        <v>1568</v>
      </c>
      <c r="E693">
        <v>3</v>
      </c>
      <c r="F693">
        <v>4107</v>
      </c>
      <c r="G693">
        <v>12321</v>
      </c>
    </row>
    <row r="694" spans="1:7" x14ac:dyDescent="0.25">
      <c r="A694" t="s">
        <v>1566</v>
      </c>
      <c r="B694" t="s">
        <v>1551</v>
      </c>
      <c r="C694" t="s">
        <v>1558</v>
      </c>
      <c r="D694" t="s">
        <v>1556</v>
      </c>
      <c r="E694">
        <v>6</v>
      </c>
      <c r="F694">
        <v>18915</v>
      </c>
      <c r="G694">
        <v>113490</v>
      </c>
    </row>
    <row r="695" spans="1:7" x14ac:dyDescent="0.25">
      <c r="A695" t="s">
        <v>1552</v>
      </c>
      <c r="B695" t="s">
        <v>1567</v>
      </c>
      <c r="C695" t="s">
        <v>1557</v>
      </c>
      <c r="D695" t="s">
        <v>1562</v>
      </c>
      <c r="E695">
        <v>3</v>
      </c>
      <c r="F695">
        <v>5766</v>
      </c>
      <c r="G695">
        <v>17298</v>
      </c>
    </row>
    <row r="696" spans="1:7" x14ac:dyDescent="0.25">
      <c r="A696" t="s">
        <v>1564</v>
      </c>
      <c r="B696" t="s">
        <v>1561</v>
      </c>
      <c r="C696" t="s">
        <v>1554</v>
      </c>
      <c r="D696" t="s">
        <v>1568</v>
      </c>
      <c r="E696">
        <v>7</v>
      </c>
      <c r="F696">
        <v>5092</v>
      </c>
      <c r="G696">
        <v>35644</v>
      </c>
    </row>
    <row r="697" spans="1:7" x14ac:dyDescent="0.25">
      <c r="A697" t="s">
        <v>1555</v>
      </c>
      <c r="B697" t="s">
        <v>1567</v>
      </c>
      <c r="C697" t="s">
        <v>1558</v>
      </c>
      <c r="D697" t="s">
        <v>1568</v>
      </c>
      <c r="E697">
        <v>4</v>
      </c>
      <c r="F697">
        <v>23746</v>
      </c>
      <c r="G697">
        <v>94984</v>
      </c>
    </row>
    <row r="698" spans="1:7" x14ac:dyDescent="0.25">
      <c r="A698" t="s">
        <v>1555</v>
      </c>
      <c r="B698" t="s">
        <v>1561</v>
      </c>
      <c r="C698" t="s">
        <v>1558</v>
      </c>
      <c r="D698" t="s">
        <v>1562</v>
      </c>
      <c r="E698">
        <v>7</v>
      </c>
      <c r="F698">
        <v>24124</v>
      </c>
      <c r="G698">
        <v>168868</v>
      </c>
    </row>
    <row r="699" spans="1:7" x14ac:dyDescent="0.25">
      <c r="A699" t="s">
        <v>1555</v>
      </c>
      <c r="B699" t="s">
        <v>1551</v>
      </c>
      <c r="C699" t="s">
        <v>1557</v>
      </c>
      <c r="D699" t="s">
        <v>1556</v>
      </c>
      <c r="E699">
        <v>2</v>
      </c>
      <c r="F699">
        <v>15015</v>
      </c>
      <c r="G699">
        <v>30030</v>
      </c>
    </row>
    <row r="700" spans="1:7" x14ac:dyDescent="0.25">
      <c r="A700" t="s">
        <v>1564</v>
      </c>
      <c r="B700" t="s">
        <v>1551</v>
      </c>
      <c r="C700" t="s">
        <v>1550</v>
      </c>
      <c r="D700" t="s">
        <v>1560</v>
      </c>
      <c r="E700">
        <v>6</v>
      </c>
      <c r="F700">
        <v>17666</v>
      </c>
      <c r="G700">
        <v>105996</v>
      </c>
    </row>
    <row r="701" spans="1:7" x14ac:dyDescent="0.25">
      <c r="A701" t="s">
        <v>1555</v>
      </c>
      <c r="B701" t="s">
        <v>1559</v>
      </c>
      <c r="C701" t="s">
        <v>1557</v>
      </c>
      <c r="D701" t="s">
        <v>1562</v>
      </c>
      <c r="E701">
        <v>9</v>
      </c>
      <c r="F701">
        <v>18473</v>
      </c>
      <c r="G701">
        <v>166257</v>
      </c>
    </row>
    <row r="702" spans="1:7" x14ac:dyDescent="0.25">
      <c r="A702" t="s">
        <v>1552</v>
      </c>
      <c r="B702" t="s">
        <v>1561</v>
      </c>
      <c r="C702" t="s">
        <v>1558</v>
      </c>
      <c r="D702" t="s">
        <v>1560</v>
      </c>
      <c r="E702">
        <v>10</v>
      </c>
      <c r="F702">
        <v>29049</v>
      </c>
      <c r="G702">
        <v>290490</v>
      </c>
    </row>
    <row r="703" spans="1:7" x14ac:dyDescent="0.25">
      <c r="A703" t="s">
        <v>1564</v>
      </c>
      <c r="B703" t="s">
        <v>1561</v>
      </c>
      <c r="C703" t="s">
        <v>1554</v>
      </c>
      <c r="D703" t="s">
        <v>1553</v>
      </c>
      <c r="E703">
        <v>9</v>
      </c>
      <c r="F703">
        <v>14627</v>
      </c>
      <c r="G703">
        <v>131643</v>
      </c>
    </row>
    <row r="704" spans="1:7" x14ac:dyDescent="0.25">
      <c r="A704" t="s">
        <v>1564</v>
      </c>
      <c r="B704" t="s">
        <v>1559</v>
      </c>
      <c r="C704" t="s">
        <v>1557</v>
      </c>
      <c r="D704" t="s">
        <v>1553</v>
      </c>
      <c r="E704">
        <v>4</v>
      </c>
      <c r="F704">
        <v>5660</v>
      </c>
      <c r="G704">
        <v>22640</v>
      </c>
    </row>
    <row r="705" spans="1:7" x14ac:dyDescent="0.25">
      <c r="A705" t="s">
        <v>1552</v>
      </c>
      <c r="B705" t="s">
        <v>1561</v>
      </c>
      <c r="C705" t="s">
        <v>1557</v>
      </c>
      <c r="D705" t="s">
        <v>1560</v>
      </c>
      <c r="E705">
        <v>4</v>
      </c>
      <c r="F705">
        <v>2166</v>
      </c>
      <c r="G705">
        <v>8664</v>
      </c>
    </row>
    <row r="706" spans="1:7" x14ac:dyDescent="0.25">
      <c r="A706" t="s">
        <v>1563</v>
      </c>
      <c r="B706" t="s">
        <v>1559</v>
      </c>
      <c r="C706" t="s">
        <v>1550</v>
      </c>
      <c r="D706" t="s">
        <v>1560</v>
      </c>
      <c r="E706">
        <v>9</v>
      </c>
      <c r="F706">
        <v>11040</v>
      </c>
      <c r="G706">
        <v>99360</v>
      </c>
    </row>
    <row r="707" spans="1:7" x14ac:dyDescent="0.25">
      <c r="A707" t="s">
        <v>1566</v>
      </c>
      <c r="B707" t="s">
        <v>1567</v>
      </c>
      <c r="C707" t="s">
        <v>1565</v>
      </c>
      <c r="D707" t="s">
        <v>1549</v>
      </c>
      <c r="E707">
        <v>10</v>
      </c>
      <c r="F707">
        <v>19315</v>
      </c>
      <c r="G707">
        <v>193150</v>
      </c>
    </row>
    <row r="708" spans="1:7" x14ac:dyDescent="0.25">
      <c r="A708" t="s">
        <v>1563</v>
      </c>
      <c r="B708" t="s">
        <v>1567</v>
      </c>
      <c r="C708" t="s">
        <v>1550</v>
      </c>
      <c r="D708" t="s">
        <v>1553</v>
      </c>
      <c r="E708">
        <v>7</v>
      </c>
      <c r="F708">
        <v>18661</v>
      </c>
      <c r="G708">
        <v>130627</v>
      </c>
    </row>
    <row r="709" spans="1:7" x14ac:dyDescent="0.25">
      <c r="A709" t="s">
        <v>1566</v>
      </c>
      <c r="B709" t="s">
        <v>1561</v>
      </c>
      <c r="C709" t="s">
        <v>1550</v>
      </c>
      <c r="D709" t="s">
        <v>1549</v>
      </c>
      <c r="E709">
        <v>10</v>
      </c>
      <c r="F709">
        <v>13226</v>
      </c>
      <c r="G709">
        <v>132260</v>
      </c>
    </row>
    <row r="710" spans="1:7" x14ac:dyDescent="0.25">
      <c r="A710" t="s">
        <v>1555</v>
      </c>
      <c r="B710" t="s">
        <v>1551</v>
      </c>
      <c r="C710" t="s">
        <v>1557</v>
      </c>
      <c r="D710" t="s">
        <v>1553</v>
      </c>
      <c r="E710">
        <v>8</v>
      </c>
      <c r="F710">
        <v>27316</v>
      </c>
      <c r="G710">
        <v>218528</v>
      </c>
    </row>
    <row r="711" spans="1:7" x14ac:dyDescent="0.25">
      <c r="A711" t="s">
        <v>1564</v>
      </c>
      <c r="B711" t="s">
        <v>1559</v>
      </c>
      <c r="C711" t="s">
        <v>1557</v>
      </c>
      <c r="D711" t="s">
        <v>1562</v>
      </c>
      <c r="E711">
        <v>8</v>
      </c>
      <c r="F711">
        <v>14469</v>
      </c>
      <c r="G711">
        <v>115752</v>
      </c>
    </row>
    <row r="712" spans="1:7" x14ac:dyDescent="0.25">
      <c r="A712" t="s">
        <v>1566</v>
      </c>
      <c r="B712" t="s">
        <v>1551</v>
      </c>
      <c r="C712" t="s">
        <v>1565</v>
      </c>
      <c r="D712" t="s">
        <v>1553</v>
      </c>
      <c r="E712">
        <v>2</v>
      </c>
      <c r="F712">
        <v>14738</v>
      </c>
      <c r="G712">
        <v>29476</v>
      </c>
    </row>
    <row r="713" spans="1:7" x14ac:dyDescent="0.25">
      <c r="A713" t="s">
        <v>1566</v>
      </c>
      <c r="B713" t="s">
        <v>1551</v>
      </c>
      <c r="C713" t="s">
        <v>1550</v>
      </c>
      <c r="D713" t="s">
        <v>1568</v>
      </c>
      <c r="E713">
        <v>2</v>
      </c>
      <c r="F713">
        <v>11410</v>
      </c>
      <c r="G713">
        <v>22820</v>
      </c>
    </row>
    <row r="714" spans="1:7" x14ac:dyDescent="0.25">
      <c r="A714" t="s">
        <v>1564</v>
      </c>
      <c r="B714" t="s">
        <v>1567</v>
      </c>
      <c r="C714" t="s">
        <v>1557</v>
      </c>
      <c r="D714" t="s">
        <v>1556</v>
      </c>
      <c r="E714">
        <v>4</v>
      </c>
      <c r="F714">
        <v>7037</v>
      </c>
      <c r="G714">
        <v>28148</v>
      </c>
    </row>
    <row r="715" spans="1:7" x14ac:dyDescent="0.25">
      <c r="A715" t="s">
        <v>1555</v>
      </c>
      <c r="B715" t="s">
        <v>1567</v>
      </c>
      <c r="C715" t="s">
        <v>1550</v>
      </c>
      <c r="D715" t="s">
        <v>1549</v>
      </c>
      <c r="E715">
        <v>10</v>
      </c>
      <c r="F715">
        <v>15141</v>
      </c>
      <c r="G715">
        <v>151410</v>
      </c>
    </row>
    <row r="716" spans="1:7" x14ac:dyDescent="0.25">
      <c r="A716" t="s">
        <v>1563</v>
      </c>
      <c r="B716" t="s">
        <v>1561</v>
      </c>
      <c r="C716" t="s">
        <v>1557</v>
      </c>
      <c r="D716" t="s">
        <v>1556</v>
      </c>
      <c r="E716">
        <v>5</v>
      </c>
      <c r="F716">
        <v>20031</v>
      </c>
      <c r="G716">
        <v>100155</v>
      </c>
    </row>
    <row r="717" spans="1:7" x14ac:dyDescent="0.25">
      <c r="A717" t="s">
        <v>1555</v>
      </c>
      <c r="B717" t="s">
        <v>1559</v>
      </c>
      <c r="C717" t="s">
        <v>1550</v>
      </c>
      <c r="D717" t="s">
        <v>1562</v>
      </c>
      <c r="E717">
        <v>10</v>
      </c>
      <c r="F717">
        <v>21185</v>
      </c>
      <c r="G717">
        <v>211850</v>
      </c>
    </row>
    <row r="718" spans="1:7" x14ac:dyDescent="0.25">
      <c r="A718" t="s">
        <v>1555</v>
      </c>
      <c r="B718" t="s">
        <v>1559</v>
      </c>
      <c r="C718" t="s">
        <v>1550</v>
      </c>
      <c r="D718" t="s">
        <v>1562</v>
      </c>
      <c r="E718">
        <v>2</v>
      </c>
      <c r="F718">
        <v>13373</v>
      </c>
      <c r="G718">
        <v>26746</v>
      </c>
    </row>
    <row r="719" spans="1:7" x14ac:dyDescent="0.25">
      <c r="A719" t="s">
        <v>1552</v>
      </c>
      <c r="B719" t="s">
        <v>1551</v>
      </c>
      <c r="C719" t="s">
        <v>1557</v>
      </c>
      <c r="D719" t="s">
        <v>1560</v>
      </c>
      <c r="E719">
        <v>6</v>
      </c>
      <c r="F719">
        <v>29936</v>
      </c>
      <c r="G719">
        <v>179616</v>
      </c>
    </row>
    <row r="720" spans="1:7" x14ac:dyDescent="0.25">
      <c r="A720" t="s">
        <v>1566</v>
      </c>
      <c r="B720" t="s">
        <v>1551</v>
      </c>
      <c r="C720" t="s">
        <v>1554</v>
      </c>
      <c r="D720" t="s">
        <v>1562</v>
      </c>
      <c r="E720">
        <v>1</v>
      </c>
      <c r="F720">
        <v>11402</v>
      </c>
      <c r="G720">
        <v>11402</v>
      </c>
    </row>
    <row r="721" spans="1:7" x14ac:dyDescent="0.25">
      <c r="A721" t="s">
        <v>1555</v>
      </c>
      <c r="B721" t="s">
        <v>1559</v>
      </c>
      <c r="C721" t="s">
        <v>1565</v>
      </c>
      <c r="D721" t="s">
        <v>1560</v>
      </c>
      <c r="E721">
        <v>4</v>
      </c>
      <c r="F721">
        <v>18189</v>
      </c>
      <c r="G721">
        <v>72756</v>
      </c>
    </row>
    <row r="722" spans="1:7" x14ac:dyDescent="0.25">
      <c r="A722" t="s">
        <v>1555</v>
      </c>
      <c r="B722" t="s">
        <v>1551</v>
      </c>
      <c r="C722" t="s">
        <v>1558</v>
      </c>
      <c r="D722" t="s">
        <v>1560</v>
      </c>
      <c r="E722">
        <v>8</v>
      </c>
      <c r="F722">
        <v>26799</v>
      </c>
      <c r="G722">
        <v>214392</v>
      </c>
    </row>
    <row r="723" spans="1:7" x14ac:dyDescent="0.25">
      <c r="A723" t="s">
        <v>1564</v>
      </c>
      <c r="B723" t="s">
        <v>1559</v>
      </c>
      <c r="C723" t="s">
        <v>1554</v>
      </c>
      <c r="D723" t="s">
        <v>1556</v>
      </c>
      <c r="E723">
        <v>9</v>
      </c>
      <c r="F723">
        <v>23211</v>
      </c>
      <c r="G723">
        <v>208899</v>
      </c>
    </row>
    <row r="724" spans="1:7" x14ac:dyDescent="0.25">
      <c r="A724" t="s">
        <v>1564</v>
      </c>
      <c r="B724" t="s">
        <v>1567</v>
      </c>
      <c r="C724" t="s">
        <v>1557</v>
      </c>
      <c r="D724" t="s">
        <v>1553</v>
      </c>
      <c r="E724">
        <v>8</v>
      </c>
      <c r="F724">
        <v>23732</v>
      </c>
      <c r="G724">
        <v>189856</v>
      </c>
    </row>
    <row r="725" spans="1:7" x14ac:dyDescent="0.25">
      <c r="A725" t="s">
        <v>1555</v>
      </c>
      <c r="B725" t="s">
        <v>1559</v>
      </c>
      <c r="C725" t="s">
        <v>1550</v>
      </c>
      <c r="D725" t="s">
        <v>1562</v>
      </c>
      <c r="E725">
        <v>4</v>
      </c>
      <c r="F725">
        <v>7190</v>
      </c>
      <c r="G725">
        <v>28760</v>
      </c>
    </row>
    <row r="726" spans="1:7" x14ac:dyDescent="0.25">
      <c r="A726" t="s">
        <v>1564</v>
      </c>
      <c r="B726" t="s">
        <v>1551</v>
      </c>
      <c r="C726" t="s">
        <v>1558</v>
      </c>
      <c r="D726" t="s">
        <v>1562</v>
      </c>
      <c r="E726">
        <v>10</v>
      </c>
      <c r="F726">
        <v>20473</v>
      </c>
      <c r="G726">
        <v>204730</v>
      </c>
    </row>
    <row r="727" spans="1:7" x14ac:dyDescent="0.25">
      <c r="A727" t="s">
        <v>1555</v>
      </c>
      <c r="B727" t="s">
        <v>1551</v>
      </c>
      <c r="C727" t="s">
        <v>1565</v>
      </c>
      <c r="D727" t="s">
        <v>1556</v>
      </c>
      <c r="E727">
        <v>8</v>
      </c>
      <c r="F727">
        <v>8087</v>
      </c>
      <c r="G727">
        <v>64696</v>
      </c>
    </row>
    <row r="728" spans="1:7" x14ac:dyDescent="0.25">
      <c r="A728" t="s">
        <v>1552</v>
      </c>
      <c r="B728" t="s">
        <v>1567</v>
      </c>
      <c r="C728" t="s">
        <v>1565</v>
      </c>
      <c r="D728" t="s">
        <v>1553</v>
      </c>
      <c r="E728">
        <v>4</v>
      </c>
      <c r="F728">
        <v>2578</v>
      </c>
      <c r="G728">
        <v>10312</v>
      </c>
    </row>
    <row r="729" spans="1:7" x14ac:dyDescent="0.25">
      <c r="A729" t="s">
        <v>1555</v>
      </c>
      <c r="B729" t="s">
        <v>1561</v>
      </c>
      <c r="C729" t="s">
        <v>1550</v>
      </c>
      <c r="D729" t="s">
        <v>1553</v>
      </c>
      <c r="E729">
        <v>2</v>
      </c>
      <c r="F729">
        <v>29186</v>
      </c>
      <c r="G729">
        <v>58372</v>
      </c>
    </row>
    <row r="730" spans="1:7" x14ac:dyDescent="0.25">
      <c r="A730" t="s">
        <v>1563</v>
      </c>
      <c r="B730" t="s">
        <v>1559</v>
      </c>
      <c r="C730" t="s">
        <v>1554</v>
      </c>
      <c r="D730" t="s">
        <v>1562</v>
      </c>
      <c r="E730">
        <v>7</v>
      </c>
      <c r="F730">
        <v>15171</v>
      </c>
      <c r="G730">
        <v>106197</v>
      </c>
    </row>
    <row r="731" spans="1:7" x14ac:dyDescent="0.25">
      <c r="A731" t="s">
        <v>1566</v>
      </c>
      <c r="B731" t="s">
        <v>1567</v>
      </c>
      <c r="C731" t="s">
        <v>1550</v>
      </c>
      <c r="D731" t="s">
        <v>1568</v>
      </c>
      <c r="E731">
        <v>10</v>
      </c>
      <c r="F731">
        <v>22923</v>
      </c>
      <c r="G731">
        <v>229230</v>
      </c>
    </row>
    <row r="732" spans="1:7" x14ac:dyDescent="0.25">
      <c r="A732" t="s">
        <v>1555</v>
      </c>
      <c r="B732" t="s">
        <v>1551</v>
      </c>
      <c r="C732" t="s">
        <v>1554</v>
      </c>
      <c r="D732" t="s">
        <v>1549</v>
      </c>
      <c r="E732">
        <v>9</v>
      </c>
      <c r="F732">
        <v>3161</v>
      </c>
      <c r="G732">
        <v>28449</v>
      </c>
    </row>
    <row r="733" spans="1:7" x14ac:dyDescent="0.25">
      <c r="A733" t="s">
        <v>1566</v>
      </c>
      <c r="B733" t="s">
        <v>1559</v>
      </c>
      <c r="C733" t="s">
        <v>1557</v>
      </c>
      <c r="D733" t="s">
        <v>1556</v>
      </c>
      <c r="E733">
        <v>8</v>
      </c>
      <c r="F733">
        <v>7426</v>
      </c>
      <c r="G733">
        <v>59408</v>
      </c>
    </row>
    <row r="734" spans="1:7" x14ac:dyDescent="0.25">
      <c r="A734" t="s">
        <v>1564</v>
      </c>
      <c r="B734" t="s">
        <v>1551</v>
      </c>
      <c r="C734" t="s">
        <v>1557</v>
      </c>
      <c r="D734" t="s">
        <v>1568</v>
      </c>
      <c r="E734">
        <v>7</v>
      </c>
      <c r="F734">
        <v>6942</v>
      </c>
      <c r="G734">
        <v>48594</v>
      </c>
    </row>
    <row r="735" spans="1:7" x14ac:dyDescent="0.25">
      <c r="A735" t="s">
        <v>1552</v>
      </c>
      <c r="B735" t="s">
        <v>1551</v>
      </c>
      <c r="C735" t="s">
        <v>1557</v>
      </c>
      <c r="D735" t="s">
        <v>1568</v>
      </c>
      <c r="E735">
        <v>8</v>
      </c>
      <c r="F735">
        <v>11400</v>
      </c>
      <c r="G735">
        <v>91200</v>
      </c>
    </row>
    <row r="736" spans="1:7" x14ac:dyDescent="0.25">
      <c r="A736" t="s">
        <v>1564</v>
      </c>
      <c r="B736" t="s">
        <v>1561</v>
      </c>
      <c r="C736" t="s">
        <v>1554</v>
      </c>
      <c r="D736" t="s">
        <v>1568</v>
      </c>
      <c r="E736">
        <v>1</v>
      </c>
      <c r="F736">
        <v>15258</v>
      </c>
      <c r="G736">
        <v>15258</v>
      </c>
    </row>
    <row r="737" spans="1:7" x14ac:dyDescent="0.25">
      <c r="A737" t="s">
        <v>1566</v>
      </c>
      <c r="B737" t="s">
        <v>1551</v>
      </c>
      <c r="C737" t="s">
        <v>1558</v>
      </c>
      <c r="D737" t="s">
        <v>1568</v>
      </c>
      <c r="E737">
        <v>6</v>
      </c>
      <c r="F737">
        <v>6372</v>
      </c>
      <c r="G737">
        <v>38232</v>
      </c>
    </row>
    <row r="738" spans="1:7" x14ac:dyDescent="0.25">
      <c r="A738" t="s">
        <v>1566</v>
      </c>
      <c r="B738" t="s">
        <v>1551</v>
      </c>
      <c r="C738" t="s">
        <v>1554</v>
      </c>
      <c r="D738" t="s">
        <v>1549</v>
      </c>
      <c r="E738">
        <v>5</v>
      </c>
      <c r="F738">
        <v>8476</v>
      </c>
      <c r="G738">
        <v>42380</v>
      </c>
    </row>
    <row r="739" spans="1:7" x14ac:dyDescent="0.25">
      <c r="A739" t="s">
        <v>1563</v>
      </c>
      <c r="B739" t="s">
        <v>1551</v>
      </c>
      <c r="C739" t="s">
        <v>1554</v>
      </c>
      <c r="D739" t="s">
        <v>1560</v>
      </c>
      <c r="E739">
        <v>5</v>
      </c>
      <c r="F739">
        <v>15833</v>
      </c>
      <c r="G739">
        <v>79165</v>
      </c>
    </row>
    <row r="740" spans="1:7" x14ac:dyDescent="0.25">
      <c r="A740" t="s">
        <v>1566</v>
      </c>
      <c r="B740" t="s">
        <v>1559</v>
      </c>
      <c r="C740" t="s">
        <v>1558</v>
      </c>
      <c r="D740" t="s">
        <v>1562</v>
      </c>
      <c r="E740">
        <v>2</v>
      </c>
      <c r="F740">
        <v>27665</v>
      </c>
      <c r="G740">
        <v>55330</v>
      </c>
    </row>
    <row r="741" spans="1:7" x14ac:dyDescent="0.25">
      <c r="A741" t="s">
        <v>1555</v>
      </c>
      <c r="B741" t="s">
        <v>1559</v>
      </c>
      <c r="C741" t="s">
        <v>1565</v>
      </c>
      <c r="D741" t="s">
        <v>1549</v>
      </c>
      <c r="E741">
        <v>3</v>
      </c>
      <c r="F741">
        <v>24121</v>
      </c>
      <c r="G741">
        <v>72363</v>
      </c>
    </row>
    <row r="742" spans="1:7" x14ac:dyDescent="0.25">
      <c r="A742" t="s">
        <v>1566</v>
      </c>
      <c r="B742" t="s">
        <v>1561</v>
      </c>
      <c r="C742" t="s">
        <v>1565</v>
      </c>
      <c r="D742" t="s">
        <v>1556</v>
      </c>
      <c r="E742">
        <v>1</v>
      </c>
      <c r="F742">
        <v>24687</v>
      </c>
      <c r="G742">
        <v>24687</v>
      </c>
    </row>
    <row r="743" spans="1:7" x14ac:dyDescent="0.25">
      <c r="A743" t="s">
        <v>1552</v>
      </c>
      <c r="B743" t="s">
        <v>1561</v>
      </c>
      <c r="C743" t="s">
        <v>1558</v>
      </c>
      <c r="D743" t="s">
        <v>1560</v>
      </c>
      <c r="E743">
        <v>3</v>
      </c>
      <c r="F743">
        <v>21099</v>
      </c>
      <c r="G743">
        <v>63297</v>
      </c>
    </row>
    <row r="744" spans="1:7" x14ac:dyDescent="0.25">
      <c r="A744" t="s">
        <v>1566</v>
      </c>
      <c r="B744" t="s">
        <v>1561</v>
      </c>
      <c r="C744" t="s">
        <v>1557</v>
      </c>
      <c r="D744" t="s">
        <v>1549</v>
      </c>
      <c r="E744">
        <v>4</v>
      </c>
      <c r="F744">
        <v>7592</v>
      </c>
      <c r="G744">
        <v>30368</v>
      </c>
    </row>
    <row r="745" spans="1:7" x14ac:dyDescent="0.25">
      <c r="A745" t="s">
        <v>1564</v>
      </c>
      <c r="B745" t="s">
        <v>1561</v>
      </c>
      <c r="C745" t="s">
        <v>1550</v>
      </c>
      <c r="D745" t="s">
        <v>1549</v>
      </c>
      <c r="E745">
        <v>6</v>
      </c>
      <c r="F745">
        <v>5122</v>
      </c>
      <c r="G745">
        <v>30732</v>
      </c>
    </row>
    <row r="746" spans="1:7" x14ac:dyDescent="0.25">
      <c r="A746" t="s">
        <v>1552</v>
      </c>
      <c r="B746" t="s">
        <v>1551</v>
      </c>
      <c r="C746" t="s">
        <v>1558</v>
      </c>
      <c r="D746" t="s">
        <v>1568</v>
      </c>
      <c r="E746">
        <v>10</v>
      </c>
      <c r="F746">
        <v>13905</v>
      </c>
      <c r="G746">
        <v>139050</v>
      </c>
    </row>
    <row r="747" spans="1:7" x14ac:dyDescent="0.25">
      <c r="A747" t="s">
        <v>1564</v>
      </c>
      <c r="B747" t="s">
        <v>1567</v>
      </c>
      <c r="C747" t="s">
        <v>1554</v>
      </c>
      <c r="D747" t="s">
        <v>1549</v>
      </c>
      <c r="E747">
        <v>9</v>
      </c>
      <c r="F747">
        <v>25297</v>
      </c>
      <c r="G747">
        <v>227673</v>
      </c>
    </row>
    <row r="748" spans="1:7" x14ac:dyDescent="0.25">
      <c r="A748" t="s">
        <v>1563</v>
      </c>
      <c r="B748" t="s">
        <v>1559</v>
      </c>
      <c r="C748" t="s">
        <v>1558</v>
      </c>
      <c r="D748" t="s">
        <v>1560</v>
      </c>
      <c r="E748">
        <v>6</v>
      </c>
      <c r="F748">
        <v>13066</v>
      </c>
      <c r="G748">
        <v>78396</v>
      </c>
    </row>
    <row r="749" spans="1:7" x14ac:dyDescent="0.25">
      <c r="A749" t="s">
        <v>1563</v>
      </c>
      <c r="B749" t="s">
        <v>1559</v>
      </c>
      <c r="C749" t="s">
        <v>1558</v>
      </c>
      <c r="D749" t="s">
        <v>1549</v>
      </c>
      <c r="E749">
        <v>2</v>
      </c>
      <c r="F749">
        <v>29445</v>
      </c>
      <c r="G749">
        <v>58890</v>
      </c>
    </row>
    <row r="750" spans="1:7" x14ac:dyDescent="0.25">
      <c r="A750" t="s">
        <v>1566</v>
      </c>
      <c r="B750" t="s">
        <v>1567</v>
      </c>
      <c r="C750" t="s">
        <v>1550</v>
      </c>
      <c r="D750" t="s">
        <v>1560</v>
      </c>
      <c r="E750">
        <v>3</v>
      </c>
      <c r="F750">
        <v>9510</v>
      </c>
      <c r="G750">
        <v>28530</v>
      </c>
    </row>
    <row r="751" spans="1:7" x14ac:dyDescent="0.25">
      <c r="A751" t="s">
        <v>1566</v>
      </c>
      <c r="B751" t="s">
        <v>1551</v>
      </c>
      <c r="C751" t="s">
        <v>1550</v>
      </c>
      <c r="D751" t="s">
        <v>1562</v>
      </c>
      <c r="E751">
        <v>3</v>
      </c>
      <c r="F751">
        <v>15502</v>
      </c>
      <c r="G751">
        <v>46506</v>
      </c>
    </row>
    <row r="752" spans="1:7" x14ac:dyDescent="0.25">
      <c r="A752" t="s">
        <v>1552</v>
      </c>
      <c r="B752" t="s">
        <v>1567</v>
      </c>
      <c r="C752" t="s">
        <v>1550</v>
      </c>
      <c r="D752" t="s">
        <v>1560</v>
      </c>
      <c r="E752">
        <v>1</v>
      </c>
      <c r="F752">
        <v>2827</v>
      </c>
      <c r="G752">
        <v>2827</v>
      </c>
    </row>
    <row r="753" spans="1:7" x14ac:dyDescent="0.25">
      <c r="A753" t="s">
        <v>1563</v>
      </c>
      <c r="B753" t="s">
        <v>1551</v>
      </c>
      <c r="C753" t="s">
        <v>1554</v>
      </c>
      <c r="D753" t="s">
        <v>1568</v>
      </c>
      <c r="E753">
        <v>1</v>
      </c>
      <c r="F753">
        <v>25300</v>
      </c>
      <c r="G753">
        <v>25300</v>
      </c>
    </row>
    <row r="754" spans="1:7" x14ac:dyDescent="0.25">
      <c r="A754" t="s">
        <v>1552</v>
      </c>
      <c r="B754" t="s">
        <v>1559</v>
      </c>
      <c r="C754" t="s">
        <v>1558</v>
      </c>
      <c r="D754" t="s">
        <v>1568</v>
      </c>
      <c r="E754">
        <v>6</v>
      </c>
      <c r="F754">
        <v>9005</v>
      </c>
      <c r="G754">
        <v>54030</v>
      </c>
    </row>
    <row r="755" spans="1:7" x14ac:dyDescent="0.25">
      <c r="A755" t="s">
        <v>1563</v>
      </c>
      <c r="B755" t="s">
        <v>1561</v>
      </c>
      <c r="C755" t="s">
        <v>1557</v>
      </c>
      <c r="D755" t="s">
        <v>1568</v>
      </c>
      <c r="E755">
        <v>8</v>
      </c>
      <c r="F755">
        <v>4853</v>
      </c>
      <c r="G755">
        <v>38824</v>
      </c>
    </row>
    <row r="756" spans="1:7" x14ac:dyDescent="0.25">
      <c r="A756" t="s">
        <v>1564</v>
      </c>
      <c r="B756" t="s">
        <v>1559</v>
      </c>
      <c r="C756" t="s">
        <v>1558</v>
      </c>
      <c r="D756" t="s">
        <v>1556</v>
      </c>
      <c r="E756">
        <v>7</v>
      </c>
      <c r="F756">
        <v>7554</v>
      </c>
      <c r="G756">
        <v>52878</v>
      </c>
    </row>
    <row r="757" spans="1:7" x14ac:dyDescent="0.25">
      <c r="A757" t="s">
        <v>1563</v>
      </c>
      <c r="B757" t="s">
        <v>1551</v>
      </c>
      <c r="C757" t="s">
        <v>1554</v>
      </c>
      <c r="D757" t="s">
        <v>1553</v>
      </c>
      <c r="E757">
        <v>2</v>
      </c>
      <c r="F757">
        <v>20746</v>
      </c>
      <c r="G757">
        <v>41492</v>
      </c>
    </row>
    <row r="758" spans="1:7" x14ac:dyDescent="0.25">
      <c r="A758" t="s">
        <v>1566</v>
      </c>
      <c r="B758" t="s">
        <v>1561</v>
      </c>
      <c r="C758" t="s">
        <v>1565</v>
      </c>
      <c r="D758" t="s">
        <v>1553</v>
      </c>
      <c r="E758">
        <v>2</v>
      </c>
      <c r="F758">
        <v>25220</v>
      </c>
      <c r="G758">
        <v>50440</v>
      </c>
    </row>
    <row r="759" spans="1:7" x14ac:dyDescent="0.25">
      <c r="A759" t="s">
        <v>1555</v>
      </c>
      <c r="B759" t="s">
        <v>1567</v>
      </c>
      <c r="C759" t="s">
        <v>1550</v>
      </c>
      <c r="D759" t="s">
        <v>1560</v>
      </c>
      <c r="E759">
        <v>2</v>
      </c>
      <c r="F759">
        <v>28506</v>
      </c>
      <c r="G759">
        <v>57012</v>
      </c>
    </row>
    <row r="760" spans="1:7" x14ac:dyDescent="0.25">
      <c r="A760" t="s">
        <v>1564</v>
      </c>
      <c r="B760" t="s">
        <v>1567</v>
      </c>
      <c r="C760" t="s">
        <v>1565</v>
      </c>
      <c r="D760" t="s">
        <v>1553</v>
      </c>
      <c r="E760">
        <v>3</v>
      </c>
      <c r="F760">
        <v>26290</v>
      </c>
      <c r="G760">
        <v>78870</v>
      </c>
    </row>
    <row r="761" spans="1:7" x14ac:dyDescent="0.25">
      <c r="A761" t="s">
        <v>1563</v>
      </c>
      <c r="B761" t="s">
        <v>1567</v>
      </c>
      <c r="C761" t="s">
        <v>1565</v>
      </c>
      <c r="D761" t="s">
        <v>1560</v>
      </c>
      <c r="E761">
        <v>8</v>
      </c>
      <c r="F761">
        <v>3865</v>
      </c>
      <c r="G761">
        <v>30920</v>
      </c>
    </row>
    <row r="762" spans="1:7" x14ac:dyDescent="0.25">
      <c r="A762" t="s">
        <v>1564</v>
      </c>
      <c r="B762" t="s">
        <v>1559</v>
      </c>
      <c r="C762" t="s">
        <v>1558</v>
      </c>
      <c r="D762" t="s">
        <v>1560</v>
      </c>
      <c r="E762">
        <v>10</v>
      </c>
      <c r="F762">
        <v>14707</v>
      </c>
      <c r="G762">
        <v>147070</v>
      </c>
    </row>
    <row r="763" spans="1:7" x14ac:dyDescent="0.25">
      <c r="A763" t="s">
        <v>1564</v>
      </c>
      <c r="B763" t="s">
        <v>1567</v>
      </c>
      <c r="C763" t="s">
        <v>1565</v>
      </c>
      <c r="D763" t="s">
        <v>1549</v>
      </c>
      <c r="E763">
        <v>2</v>
      </c>
      <c r="F763">
        <v>29020</v>
      </c>
      <c r="G763">
        <v>58040</v>
      </c>
    </row>
    <row r="764" spans="1:7" x14ac:dyDescent="0.25">
      <c r="A764" t="s">
        <v>1552</v>
      </c>
      <c r="B764" t="s">
        <v>1559</v>
      </c>
      <c r="C764" t="s">
        <v>1557</v>
      </c>
      <c r="D764" t="s">
        <v>1560</v>
      </c>
      <c r="E764">
        <v>1</v>
      </c>
      <c r="F764">
        <v>24157</v>
      </c>
      <c r="G764">
        <v>24157</v>
      </c>
    </row>
    <row r="765" spans="1:7" x14ac:dyDescent="0.25">
      <c r="A765" t="s">
        <v>1552</v>
      </c>
      <c r="B765" t="s">
        <v>1567</v>
      </c>
      <c r="C765" t="s">
        <v>1557</v>
      </c>
      <c r="D765" t="s">
        <v>1549</v>
      </c>
      <c r="E765">
        <v>6</v>
      </c>
      <c r="F765">
        <v>8668</v>
      </c>
      <c r="G765">
        <v>52008</v>
      </c>
    </row>
    <row r="766" spans="1:7" x14ac:dyDescent="0.25">
      <c r="A766" t="s">
        <v>1566</v>
      </c>
      <c r="B766" t="s">
        <v>1559</v>
      </c>
      <c r="C766" t="s">
        <v>1557</v>
      </c>
      <c r="D766" t="s">
        <v>1562</v>
      </c>
      <c r="E766">
        <v>2</v>
      </c>
      <c r="F766">
        <v>18650</v>
      </c>
      <c r="G766">
        <v>37300</v>
      </c>
    </row>
    <row r="767" spans="1:7" x14ac:dyDescent="0.25">
      <c r="A767" t="s">
        <v>1563</v>
      </c>
      <c r="B767" t="s">
        <v>1559</v>
      </c>
      <c r="C767" t="s">
        <v>1550</v>
      </c>
      <c r="D767" t="s">
        <v>1549</v>
      </c>
      <c r="E767">
        <v>6</v>
      </c>
      <c r="F767">
        <v>25311</v>
      </c>
      <c r="G767">
        <v>151866</v>
      </c>
    </row>
    <row r="768" spans="1:7" x14ac:dyDescent="0.25">
      <c r="A768" t="s">
        <v>1563</v>
      </c>
      <c r="B768" t="s">
        <v>1551</v>
      </c>
      <c r="C768" t="s">
        <v>1557</v>
      </c>
      <c r="D768" t="s">
        <v>1560</v>
      </c>
      <c r="E768">
        <v>5</v>
      </c>
      <c r="F768">
        <v>1570</v>
      </c>
      <c r="G768">
        <v>7850</v>
      </c>
    </row>
    <row r="769" spans="1:7" x14ac:dyDescent="0.25">
      <c r="A769" t="s">
        <v>1555</v>
      </c>
      <c r="B769" t="s">
        <v>1561</v>
      </c>
      <c r="C769" t="s">
        <v>1557</v>
      </c>
      <c r="D769" t="s">
        <v>1562</v>
      </c>
      <c r="E769">
        <v>3</v>
      </c>
      <c r="F769">
        <v>17402</v>
      </c>
      <c r="G769">
        <v>52206</v>
      </c>
    </row>
    <row r="770" spans="1:7" x14ac:dyDescent="0.25">
      <c r="A770" t="s">
        <v>1555</v>
      </c>
      <c r="B770" t="s">
        <v>1561</v>
      </c>
      <c r="C770" t="s">
        <v>1565</v>
      </c>
      <c r="D770" t="s">
        <v>1553</v>
      </c>
      <c r="E770">
        <v>9</v>
      </c>
      <c r="F770">
        <v>15618</v>
      </c>
      <c r="G770">
        <v>140562</v>
      </c>
    </row>
    <row r="771" spans="1:7" x14ac:dyDescent="0.25">
      <c r="A771" t="s">
        <v>1555</v>
      </c>
      <c r="B771" t="s">
        <v>1559</v>
      </c>
      <c r="C771" t="s">
        <v>1557</v>
      </c>
      <c r="D771" t="s">
        <v>1553</v>
      </c>
      <c r="E771">
        <v>1</v>
      </c>
      <c r="F771">
        <v>6817</v>
      </c>
      <c r="G771">
        <v>6817</v>
      </c>
    </row>
    <row r="772" spans="1:7" x14ac:dyDescent="0.25">
      <c r="A772" t="s">
        <v>1563</v>
      </c>
      <c r="B772" t="s">
        <v>1567</v>
      </c>
      <c r="C772" t="s">
        <v>1557</v>
      </c>
      <c r="D772" t="s">
        <v>1560</v>
      </c>
      <c r="E772">
        <v>2</v>
      </c>
      <c r="F772">
        <v>17242</v>
      </c>
      <c r="G772">
        <v>34484</v>
      </c>
    </row>
    <row r="773" spans="1:7" x14ac:dyDescent="0.25">
      <c r="A773" t="s">
        <v>1555</v>
      </c>
      <c r="B773" t="s">
        <v>1559</v>
      </c>
      <c r="C773" t="s">
        <v>1557</v>
      </c>
      <c r="D773" t="s">
        <v>1549</v>
      </c>
      <c r="E773">
        <v>1</v>
      </c>
      <c r="F773">
        <v>12520</v>
      </c>
      <c r="G773">
        <v>12520</v>
      </c>
    </row>
    <row r="774" spans="1:7" x14ac:dyDescent="0.25">
      <c r="A774" t="s">
        <v>1564</v>
      </c>
      <c r="B774" t="s">
        <v>1567</v>
      </c>
      <c r="C774" t="s">
        <v>1550</v>
      </c>
      <c r="D774" t="s">
        <v>1556</v>
      </c>
      <c r="E774">
        <v>10</v>
      </c>
      <c r="F774">
        <v>14891</v>
      </c>
      <c r="G774">
        <v>148910</v>
      </c>
    </row>
    <row r="775" spans="1:7" x14ac:dyDescent="0.25">
      <c r="A775" t="s">
        <v>1564</v>
      </c>
      <c r="B775" t="s">
        <v>1551</v>
      </c>
      <c r="C775" t="s">
        <v>1565</v>
      </c>
      <c r="D775" t="s">
        <v>1549</v>
      </c>
      <c r="E775">
        <v>4</v>
      </c>
      <c r="F775">
        <v>2314</v>
      </c>
      <c r="G775">
        <v>9256</v>
      </c>
    </row>
    <row r="776" spans="1:7" x14ac:dyDescent="0.25">
      <c r="A776" t="s">
        <v>1563</v>
      </c>
      <c r="B776" t="s">
        <v>1567</v>
      </c>
      <c r="C776" t="s">
        <v>1557</v>
      </c>
      <c r="D776" t="s">
        <v>1556</v>
      </c>
      <c r="E776">
        <v>3</v>
      </c>
      <c r="F776">
        <v>28583</v>
      </c>
      <c r="G776">
        <v>85749</v>
      </c>
    </row>
    <row r="777" spans="1:7" x14ac:dyDescent="0.25">
      <c r="A777" t="s">
        <v>1564</v>
      </c>
      <c r="B777" t="s">
        <v>1567</v>
      </c>
      <c r="C777" t="s">
        <v>1557</v>
      </c>
      <c r="D777" t="s">
        <v>1568</v>
      </c>
      <c r="E777">
        <v>5</v>
      </c>
      <c r="F777">
        <v>25783</v>
      </c>
      <c r="G777">
        <v>128915</v>
      </c>
    </row>
    <row r="778" spans="1:7" x14ac:dyDescent="0.25">
      <c r="A778" t="s">
        <v>1552</v>
      </c>
      <c r="B778" t="s">
        <v>1561</v>
      </c>
      <c r="C778" t="s">
        <v>1550</v>
      </c>
      <c r="D778" t="s">
        <v>1562</v>
      </c>
      <c r="E778">
        <v>5</v>
      </c>
      <c r="F778">
        <v>27589</v>
      </c>
      <c r="G778">
        <v>137945</v>
      </c>
    </row>
    <row r="779" spans="1:7" x14ac:dyDescent="0.25">
      <c r="A779" t="s">
        <v>1563</v>
      </c>
      <c r="B779" t="s">
        <v>1559</v>
      </c>
      <c r="C779" t="s">
        <v>1550</v>
      </c>
      <c r="D779" t="s">
        <v>1553</v>
      </c>
      <c r="E779">
        <v>10</v>
      </c>
      <c r="F779">
        <v>10581</v>
      </c>
      <c r="G779">
        <v>105810</v>
      </c>
    </row>
    <row r="780" spans="1:7" x14ac:dyDescent="0.25">
      <c r="A780" t="s">
        <v>1566</v>
      </c>
      <c r="B780" t="s">
        <v>1567</v>
      </c>
      <c r="C780" t="s">
        <v>1558</v>
      </c>
      <c r="D780" t="s">
        <v>1549</v>
      </c>
      <c r="E780">
        <v>3</v>
      </c>
      <c r="F780">
        <v>23490</v>
      </c>
      <c r="G780">
        <v>70470</v>
      </c>
    </row>
    <row r="781" spans="1:7" x14ac:dyDescent="0.25">
      <c r="A781" t="s">
        <v>1563</v>
      </c>
      <c r="B781" t="s">
        <v>1551</v>
      </c>
      <c r="C781" t="s">
        <v>1550</v>
      </c>
      <c r="D781" t="s">
        <v>1553</v>
      </c>
      <c r="E781">
        <v>7</v>
      </c>
      <c r="F781">
        <v>10966</v>
      </c>
      <c r="G781">
        <v>76762</v>
      </c>
    </row>
    <row r="782" spans="1:7" x14ac:dyDescent="0.25">
      <c r="A782" t="s">
        <v>1563</v>
      </c>
      <c r="B782" t="s">
        <v>1559</v>
      </c>
      <c r="C782" t="s">
        <v>1565</v>
      </c>
      <c r="D782" t="s">
        <v>1553</v>
      </c>
      <c r="E782">
        <v>1</v>
      </c>
      <c r="F782">
        <v>9517</v>
      </c>
      <c r="G782">
        <v>9517</v>
      </c>
    </row>
    <row r="783" spans="1:7" x14ac:dyDescent="0.25">
      <c r="A783" t="s">
        <v>1566</v>
      </c>
      <c r="B783" t="s">
        <v>1551</v>
      </c>
      <c r="C783" t="s">
        <v>1565</v>
      </c>
      <c r="D783" t="s">
        <v>1549</v>
      </c>
      <c r="E783">
        <v>7</v>
      </c>
      <c r="F783">
        <v>1827</v>
      </c>
      <c r="G783">
        <v>12789</v>
      </c>
    </row>
    <row r="784" spans="1:7" x14ac:dyDescent="0.25">
      <c r="A784" t="s">
        <v>1555</v>
      </c>
      <c r="B784" t="s">
        <v>1567</v>
      </c>
      <c r="C784" t="s">
        <v>1557</v>
      </c>
      <c r="D784" t="s">
        <v>1562</v>
      </c>
      <c r="E784">
        <v>3</v>
      </c>
      <c r="F784">
        <v>27630</v>
      </c>
      <c r="G784">
        <v>82890</v>
      </c>
    </row>
    <row r="785" spans="1:7" x14ac:dyDescent="0.25">
      <c r="A785" t="s">
        <v>1566</v>
      </c>
      <c r="B785" t="s">
        <v>1551</v>
      </c>
      <c r="C785" t="s">
        <v>1558</v>
      </c>
      <c r="D785" t="s">
        <v>1562</v>
      </c>
      <c r="E785">
        <v>6</v>
      </c>
      <c r="F785">
        <v>7522</v>
      </c>
      <c r="G785">
        <v>45132</v>
      </c>
    </row>
    <row r="786" spans="1:7" x14ac:dyDescent="0.25">
      <c r="A786" t="s">
        <v>1563</v>
      </c>
      <c r="B786" t="s">
        <v>1551</v>
      </c>
      <c r="C786" t="s">
        <v>1565</v>
      </c>
      <c r="D786" t="s">
        <v>1560</v>
      </c>
      <c r="E786">
        <v>9</v>
      </c>
      <c r="F786">
        <v>17321</v>
      </c>
      <c r="G786">
        <v>155889</v>
      </c>
    </row>
    <row r="787" spans="1:7" x14ac:dyDescent="0.25">
      <c r="A787" t="s">
        <v>1555</v>
      </c>
      <c r="B787" t="s">
        <v>1561</v>
      </c>
      <c r="C787" t="s">
        <v>1558</v>
      </c>
      <c r="D787" t="s">
        <v>1553</v>
      </c>
      <c r="E787">
        <v>3</v>
      </c>
      <c r="F787">
        <v>19800</v>
      </c>
      <c r="G787">
        <v>59400</v>
      </c>
    </row>
    <row r="788" spans="1:7" x14ac:dyDescent="0.25">
      <c r="A788" t="s">
        <v>1555</v>
      </c>
      <c r="B788" t="s">
        <v>1551</v>
      </c>
      <c r="C788" t="s">
        <v>1550</v>
      </c>
      <c r="D788" t="s">
        <v>1549</v>
      </c>
      <c r="E788">
        <v>10</v>
      </c>
      <c r="F788">
        <v>9520</v>
      </c>
      <c r="G788">
        <v>95200</v>
      </c>
    </row>
    <row r="789" spans="1:7" x14ac:dyDescent="0.25">
      <c r="A789" t="s">
        <v>1563</v>
      </c>
      <c r="B789" t="s">
        <v>1567</v>
      </c>
      <c r="C789" t="s">
        <v>1558</v>
      </c>
      <c r="D789" t="s">
        <v>1553</v>
      </c>
      <c r="E789">
        <v>1</v>
      </c>
      <c r="F789">
        <v>15328</v>
      </c>
      <c r="G789">
        <v>15328</v>
      </c>
    </row>
    <row r="790" spans="1:7" x14ac:dyDescent="0.25">
      <c r="A790" t="s">
        <v>1552</v>
      </c>
      <c r="B790" t="s">
        <v>1559</v>
      </c>
      <c r="C790" t="s">
        <v>1557</v>
      </c>
      <c r="D790" t="s">
        <v>1553</v>
      </c>
      <c r="E790">
        <v>2</v>
      </c>
      <c r="F790">
        <v>29405</v>
      </c>
      <c r="G790">
        <v>58810</v>
      </c>
    </row>
    <row r="791" spans="1:7" x14ac:dyDescent="0.25">
      <c r="A791" t="s">
        <v>1555</v>
      </c>
      <c r="B791" t="s">
        <v>1559</v>
      </c>
      <c r="C791" t="s">
        <v>1565</v>
      </c>
      <c r="D791" t="s">
        <v>1553</v>
      </c>
      <c r="E791">
        <v>7</v>
      </c>
      <c r="F791">
        <v>29570</v>
      </c>
      <c r="G791">
        <v>206990</v>
      </c>
    </row>
    <row r="792" spans="1:7" x14ac:dyDescent="0.25">
      <c r="A792" t="s">
        <v>1552</v>
      </c>
      <c r="B792" t="s">
        <v>1561</v>
      </c>
      <c r="C792" t="s">
        <v>1550</v>
      </c>
      <c r="D792" t="s">
        <v>1560</v>
      </c>
      <c r="E792">
        <v>4</v>
      </c>
      <c r="F792">
        <v>28829</v>
      </c>
      <c r="G792">
        <v>115316</v>
      </c>
    </row>
    <row r="793" spans="1:7" x14ac:dyDescent="0.25">
      <c r="A793" t="s">
        <v>1566</v>
      </c>
      <c r="B793" t="s">
        <v>1567</v>
      </c>
      <c r="C793" t="s">
        <v>1557</v>
      </c>
      <c r="D793" t="s">
        <v>1560</v>
      </c>
      <c r="E793">
        <v>9</v>
      </c>
      <c r="F793">
        <v>23128</v>
      </c>
      <c r="G793">
        <v>208152</v>
      </c>
    </row>
    <row r="794" spans="1:7" x14ac:dyDescent="0.25">
      <c r="A794" t="s">
        <v>1555</v>
      </c>
      <c r="B794" t="s">
        <v>1559</v>
      </c>
      <c r="C794" t="s">
        <v>1565</v>
      </c>
      <c r="D794" t="s">
        <v>1562</v>
      </c>
      <c r="E794">
        <v>9</v>
      </c>
      <c r="F794">
        <v>20104</v>
      </c>
      <c r="G794">
        <v>180936</v>
      </c>
    </row>
    <row r="795" spans="1:7" x14ac:dyDescent="0.25">
      <c r="A795" t="s">
        <v>1566</v>
      </c>
      <c r="B795" t="s">
        <v>1551</v>
      </c>
      <c r="C795" t="s">
        <v>1558</v>
      </c>
      <c r="D795" t="s">
        <v>1556</v>
      </c>
      <c r="E795">
        <v>5</v>
      </c>
      <c r="F795">
        <v>9430</v>
      </c>
      <c r="G795">
        <v>47150</v>
      </c>
    </row>
    <row r="796" spans="1:7" x14ac:dyDescent="0.25">
      <c r="A796" t="s">
        <v>1555</v>
      </c>
      <c r="B796" t="s">
        <v>1567</v>
      </c>
      <c r="C796" t="s">
        <v>1557</v>
      </c>
      <c r="D796" t="s">
        <v>1556</v>
      </c>
      <c r="E796">
        <v>3</v>
      </c>
      <c r="F796">
        <v>13505</v>
      </c>
      <c r="G796">
        <v>40515</v>
      </c>
    </row>
    <row r="797" spans="1:7" x14ac:dyDescent="0.25">
      <c r="A797" t="s">
        <v>1563</v>
      </c>
      <c r="B797" t="s">
        <v>1561</v>
      </c>
      <c r="C797" t="s">
        <v>1565</v>
      </c>
      <c r="D797" t="s">
        <v>1556</v>
      </c>
      <c r="E797">
        <v>8</v>
      </c>
      <c r="F797">
        <v>18692</v>
      </c>
      <c r="G797">
        <v>149536</v>
      </c>
    </row>
    <row r="798" spans="1:7" x14ac:dyDescent="0.25">
      <c r="A798" t="s">
        <v>1564</v>
      </c>
      <c r="B798" t="s">
        <v>1559</v>
      </c>
      <c r="C798" t="s">
        <v>1557</v>
      </c>
      <c r="D798" t="s">
        <v>1556</v>
      </c>
      <c r="E798">
        <v>7</v>
      </c>
      <c r="F798">
        <v>16824</v>
      </c>
      <c r="G798">
        <v>117768</v>
      </c>
    </row>
    <row r="799" spans="1:7" x14ac:dyDescent="0.25">
      <c r="A799" t="s">
        <v>1552</v>
      </c>
      <c r="B799" t="s">
        <v>1551</v>
      </c>
      <c r="C799" t="s">
        <v>1550</v>
      </c>
      <c r="D799" t="s">
        <v>1553</v>
      </c>
      <c r="E799">
        <v>8</v>
      </c>
      <c r="F799">
        <v>13362</v>
      </c>
      <c r="G799">
        <v>106896</v>
      </c>
    </row>
    <row r="800" spans="1:7" x14ac:dyDescent="0.25">
      <c r="A800" t="s">
        <v>1566</v>
      </c>
      <c r="B800" t="s">
        <v>1567</v>
      </c>
      <c r="C800" t="s">
        <v>1550</v>
      </c>
      <c r="D800" t="s">
        <v>1556</v>
      </c>
      <c r="E800">
        <v>1</v>
      </c>
      <c r="F800">
        <v>2524</v>
      </c>
      <c r="G800">
        <v>2524</v>
      </c>
    </row>
    <row r="801" spans="1:7" x14ac:dyDescent="0.25">
      <c r="A801" t="s">
        <v>1555</v>
      </c>
      <c r="B801" t="s">
        <v>1567</v>
      </c>
      <c r="C801" t="s">
        <v>1554</v>
      </c>
      <c r="D801" t="s">
        <v>1556</v>
      </c>
      <c r="E801">
        <v>2</v>
      </c>
      <c r="F801">
        <v>7953</v>
      </c>
      <c r="G801">
        <v>15906</v>
      </c>
    </row>
    <row r="802" spans="1:7" x14ac:dyDescent="0.25">
      <c r="A802" t="s">
        <v>1566</v>
      </c>
      <c r="B802" t="s">
        <v>1561</v>
      </c>
      <c r="C802" t="s">
        <v>1558</v>
      </c>
      <c r="D802" t="s">
        <v>1553</v>
      </c>
      <c r="E802">
        <v>3</v>
      </c>
      <c r="F802">
        <v>17153</v>
      </c>
      <c r="G802">
        <v>51459</v>
      </c>
    </row>
    <row r="803" spans="1:7" x14ac:dyDescent="0.25">
      <c r="A803" t="s">
        <v>1563</v>
      </c>
      <c r="B803" t="s">
        <v>1567</v>
      </c>
      <c r="C803" t="s">
        <v>1565</v>
      </c>
      <c r="D803" t="s">
        <v>1553</v>
      </c>
      <c r="E803">
        <v>5</v>
      </c>
      <c r="F803">
        <v>24378</v>
      </c>
      <c r="G803">
        <v>121890</v>
      </c>
    </row>
    <row r="804" spans="1:7" x14ac:dyDescent="0.25">
      <c r="A804" t="s">
        <v>1563</v>
      </c>
      <c r="B804" t="s">
        <v>1561</v>
      </c>
      <c r="C804" t="s">
        <v>1565</v>
      </c>
      <c r="D804" t="s">
        <v>1556</v>
      </c>
      <c r="E804">
        <v>3</v>
      </c>
      <c r="F804">
        <v>4695</v>
      </c>
      <c r="G804">
        <v>14085</v>
      </c>
    </row>
    <row r="805" spans="1:7" x14ac:dyDescent="0.25">
      <c r="A805" t="s">
        <v>1563</v>
      </c>
      <c r="B805" t="s">
        <v>1561</v>
      </c>
      <c r="C805" t="s">
        <v>1557</v>
      </c>
      <c r="D805" t="s">
        <v>1556</v>
      </c>
      <c r="E805">
        <v>1</v>
      </c>
      <c r="F805">
        <v>2814</v>
      </c>
      <c r="G805">
        <v>2814</v>
      </c>
    </row>
    <row r="806" spans="1:7" x14ac:dyDescent="0.25">
      <c r="A806" t="s">
        <v>1564</v>
      </c>
      <c r="B806" t="s">
        <v>1551</v>
      </c>
      <c r="C806" t="s">
        <v>1558</v>
      </c>
      <c r="D806" t="s">
        <v>1562</v>
      </c>
      <c r="E806">
        <v>10</v>
      </c>
      <c r="F806">
        <v>9973</v>
      </c>
      <c r="G806">
        <v>99730</v>
      </c>
    </row>
    <row r="807" spans="1:7" x14ac:dyDescent="0.25">
      <c r="A807" t="s">
        <v>1555</v>
      </c>
      <c r="B807" t="s">
        <v>1567</v>
      </c>
      <c r="C807" t="s">
        <v>1550</v>
      </c>
      <c r="D807" t="s">
        <v>1560</v>
      </c>
      <c r="E807">
        <v>6</v>
      </c>
      <c r="F807">
        <v>12783</v>
      </c>
      <c r="G807">
        <v>76698</v>
      </c>
    </row>
    <row r="808" spans="1:7" x14ac:dyDescent="0.25">
      <c r="A808" t="s">
        <v>1552</v>
      </c>
      <c r="B808" t="s">
        <v>1567</v>
      </c>
      <c r="C808" t="s">
        <v>1554</v>
      </c>
      <c r="D808" t="s">
        <v>1568</v>
      </c>
      <c r="E808">
        <v>1</v>
      </c>
      <c r="F808">
        <v>13896</v>
      </c>
      <c r="G808">
        <v>13896</v>
      </c>
    </row>
    <row r="809" spans="1:7" x14ac:dyDescent="0.25">
      <c r="A809" t="s">
        <v>1563</v>
      </c>
      <c r="B809" t="s">
        <v>1561</v>
      </c>
      <c r="C809" t="s">
        <v>1565</v>
      </c>
      <c r="D809" t="s">
        <v>1562</v>
      </c>
      <c r="E809">
        <v>4</v>
      </c>
      <c r="F809">
        <v>10088</v>
      </c>
      <c r="G809">
        <v>40352</v>
      </c>
    </row>
    <row r="810" spans="1:7" x14ac:dyDescent="0.25">
      <c r="A810" t="s">
        <v>1563</v>
      </c>
      <c r="B810" t="s">
        <v>1559</v>
      </c>
      <c r="C810" t="s">
        <v>1554</v>
      </c>
      <c r="D810" t="s">
        <v>1556</v>
      </c>
      <c r="E810">
        <v>9</v>
      </c>
      <c r="F810">
        <v>10157</v>
      </c>
      <c r="G810">
        <v>91413</v>
      </c>
    </row>
    <row r="811" spans="1:7" x14ac:dyDescent="0.25">
      <c r="A811" t="s">
        <v>1566</v>
      </c>
      <c r="B811" t="s">
        <v>1561</v>
      </c>
      <c r="C811" t="s">
        <v>1550</v>
      </c>
      <c r="D811" t="s">
        <v>1549</v>
      </c>
      <c r="E811">
        <v>6</v>
      </c>
      <c r="F811">
        <v>20670</v>
      </c>
      <c r="G811">
        <v>124020</v>
      </c>
    </row>
    <row r="812" spans="1:7" x14ac:dyDescent="0.25">
      <c r="A812" t="s">
        <v>1552</v>
      </c>
      <c r="B812" t="s">
        <v>1567</v>
      </c>
      <c r="C812" t="s">
        <v>1558</v>
      </c>
      <c r="D812" t="s">
        <v>1568</v>
      </c>
      <c r="E812">
        <v>6</v>
      </c>
      <c r="F812">
        <v>18543</v>
      </c>
      <c r="G812">
        <v>111258</v>
      </c>
    </row>
    <row r="813" spans="1:7" x14ac:dyDescent="0.25">
      <c r="A813" t="s">
        <v>1566</v>
      </c>
      <c r="B813" t="s">
        <v>1559</v>
      </c>
      <c r="C813" t="s">
        <v>1558</v>
      </c>
      <c r="D813" t="s">
        <v>1568</v>
      </c>
      <c r="E813">
        <v>1</v>
      </c>
      <c r="F813">
        <v>21256</v>
      </c>
      <c r="G813">
        <v>21256</v>
      </c>
    </row>
    <row r="814" spans="1:7" x14ac:dyDescent="0.25">
      <c r="A814" t="s">
        <v>1552</v>
      </c>
      <c r="B814" t="s">
        <v>1559</v>
      </c>
      <c r="C814" t="s">
        <v>1565</v>
      </c>
      <c r="D814" t="s">
        <v>1562</v>
      </c>
      <c r="E814">
        <v>8</v>
      </c>
      <c r="F814">
        <v>13097</v>
      </c>
      <c r="G814">
        <v>104776</v>
      </c>
    </row>
    <row r="815" spans="1:7" x14ac:dyDescent="0.25">
      <c r="A815" t="s">
        <v>1566</v>
      </c>
      <c r="B815" t="s">
        <v>1567</v>
      </c>
      <c r="C815" t="s">
        <v>1558</v>
      </c>
      <c r="D815" t="s">
        <v>1562</v>
      </c>
      <c r="E815">
        <v>10</v>
      </c>
      <c r="F815">
        <v>23633</v>
      </c>
      <c r="G815">
        <v>236330</v>
      </c>
    </row>
    <row r="816" spans="1:7" x14ac:dyDescent="0.25">
      <c r="A816" t="s">
        <v>1555</v>
      </c>
      <c r="B816" t="s">
        <v>1567</v>
      </c>
      <c r="C816" t="s">
        <v>1557</v>
      </c>
      <c r="D816" t="s">
        <v>1562</v>
      </c>
      <c r="E816">
        <v>3</v>
      </c>
      <c r="F816">
        <v>4303</v>
      </c>
      <c r="G816">
        <v>12909</v>
      </c>
    </row>
    <row r="817" spans="1:7" x14ac:dyDescent="0.25">
      <c r="A817" t="s">
        <v>1564</v>
      </c>
      <c r="B817" t="s">
        <v>1567</v>
      </c>
      <c r="C817" t="s">
        <v>1550</v>
      </c>
      <c r="D817" t="s">
        <v>1549</v>
      </c>
      <c r="E817">
        <v>7</v>
      </c>
      <c r="F817">
        <v>6383</v>
      </c>
      <c r="G817">
        <v>44681</v>
      </c>
    </row>
    <row r="818" spans="1:7" x14ac:dyDescent="0.25">
      <c r="A818" t="s">
        <v>1552</v>
      </c>
      <c r="B818" t="s">
        <v>1559</v>
      </c>
      <c r="C818" t="s">
        <v>1550</v>
      </c>
      <c r="D818" t="s">
        <v>1562</v>
      </c>
      <c r="E818">
        <v>1</v>
      </c>
      <c r="F818">
        <v>1316</v>
      </c>
      <c r="G818">
        <v>1316</v>
      </c>
    </row>
    <row r="819" spans="1:7" x14ac:dyDescent="0.25">
      <c r="A819" t="s">
        <v>1552</v>
      </c>
      <c r="B819" t="s">
        <v>1551</v>
      </c>
      <c r="C819" t="s">
        <v>1550</v>
      </c>
      <c r="D819" t="s">
        <v>1553</v>
      </c>
      <c r="E819">
        <v>10</v>
      </c>
      <c r="F819">
        <v>2598</v>
      </c>
      <c r="G819">
        <v>25980</v>
      </c>
    </row>
    <row r="820" spans="1:7" x14ac:dyDescent="0.25">
      <c r="A820" t="s">
        <v>1552</v>
      </c>
      <c r="B820" t="s">
        <v>1559</v>
      </c>
      <c r="C820" t="s">
        <v>1554</v>
      </c>
      <c r="D820" t="s">
        <v>1562</v>
      </c>
      <c r="E820">
        <v>3</v>
      </c>
      <c r="F820">
        <v>20095</v>
      </c>
      <c r="G820">
        <v>60285</v>
      </c>
    </row>
    <row r="821" spans="1:7" x14ac:dyDescent="0.25">
      <c r="A821" t="s">
        <v>1552</v>
      </c>
      <c r="B821" t="s">
        <v>1559</v>
      </c>
      <c r="C821" t="s">
        <v>1550</v>
      </c>
      <c r="D821" t="s">
        <v>1556</v>
      </c>
      <c r="E821">
        <v>7</v>
      </c>
      <c r="F821">
        <v>12191</v>
      </c>
      <c r="G821">
        <v>85337</v>
      </c>
    </row>
    <row r="822" spans="1:7" x14ac:dyDescent="0.25">
      <c r="A822" t="s">
        <v>1564</v>
      </c>
      <c r="B822" t="s">
        <v>1559</v>
      </c>
      <c r="C822" t="s">
        <v>1557</v>
      </c>
      <c r="D822" t="s">
        <v>1549</v>
      </c>
      <c r="E822">
        <v>2</v>
      </c>
      <c r="F822">
        <v>13263</v>
      </c>
      <c r="G822">
        <v>26526</v>
      </c>
    </row>
    <row r="823" spans="1:7" x14ac:dyDescent="0.25">
      <c r="A823" t="s">
        <v>1555</v>
      </c>
      <c r="B823" t="s">
        <v>1567</v>
      </c>
      <c r="C823" t="s">
        <v>1554</v>
      </c>
      <c r="D823" t="s">
        <v>1549</v>
      </c>
      <c r="E823">
        <v>7</v>
      </c>
      <c r="F823">
        <v>10078</v>
      </c>
      <c r="G823">
        <v>70546</v>
      </c>
    </row>
    <row r="824" spans="1:7" x14ac:dyDescent="0.25">
      <c r="A824" t="s">
        <v>1552</v>
      </c>
      <c r="B824" t="s">
        <v>1561</v>
      </c>
      <c r="C824" t="s">
        <v>1565</v>
      </c>
      <c r="D824" t="s">
        <v>1562</v>
      </c>
      <c r="E824">
        <v>8</v>
      </c>
      <c r="F824">
        <v>28139</v>
      </c>
      <c r="G824">
        <v>225112</v>
      </c>
    </row>
    <row r="825" spans="1:7" x14ac:dyDescent="0.25">
      <c r="A825" t="s">
        <v>1564</v>
      </c>
      <c r="B825" t="s">
        <v>1561</v>
      </c>
      <c r="C825" t="s">
        <v>1554</v>
      </c>
      <c r="D825" t="s">
        <v>1549</v>
      </c>
      <c r="E825">
        <v>10</v>
      </c>
      <c r="F825">
        <v>13585</v>
      </c>
      <c r="G825">
        <v>135850</v>
      </c>
    </row>
    <row r="826" spans="1:7" x14ac:dyDescent="0.25">
      <c r="A826" t="s">
        <v>1564</v>
      </c>
      <c r="B826" t="s">
        <v>1559</v>
      </c>
      <c r="C826" t="s">
        <v>1565</v>
      </c>
      <c r="D826" t="s">
        <v>1560</v>
      </c>
      <c r="E826">
        <v>10</v>
      </c>
      <c r="F826">
        <v>6323</v>
      </c>
      <c r="G826">
        <v>63230</v>
      </c>
    </row>
    <row r="827" spans="1:7" x14ac:dyDescent="0.25">
      <c r="A827" t="s">
        <v>1566</v>
      </c>
      <c r="B827" t="s">
        <v>1561</v>
      </c>
      <c r="C827" t="s">
        <v>1565</v>
      </c>
      <c r="D827" t="s">
        <v>1562</v>
      </c>
      <c r="E827">
        <v>4</v>
      </c>
      <c r="F827">
        <v>29449</v>
      </c>
      <c r="G827">
        <v>117796</v>
      </c>
    </row>
    <row r="828" spans="1:7" x14ac:dyDescent="0.25">
      <c r="A828" t="s">
        <v>1566</v>
      </c>
      <c r="B828" t="s">
        <v>1567</v>
      </c>
      <c r="C828" t="s">
        <v>1550</v>
      </c>
      <c r="D828" t="s">
        <v>1560</v>
      </c>
      <c r="E828">
        <v>1</v>
      </c>
      <c r="F828">
        <v>26905</v>
      </c>
      <c r="G828">
        <v>26905</v>
      </c>
    </row>
    <row r="829" spans="1:7" x14ac:dyDescent="0.25">
      <c r="A829" t="s">
        <v>1566</v>
      </c>
      <c r="B829" t="s">
        <v>1551</v>
      </c>
      <c r="C829" t="s">
        <v>1565</v>
      </c>
      <c r="D829" t="s">
        <v>1549</v>
      </c>
      <c r="E829">
        <v>6</v>
      </c>
      <c r="F829">
        <v>20654</v>
      </c>
      <c r="G829">
        <v>123924</v>
      </c>
    </row>
    <row r="830" spans="1:7" x14ac:dyDescent="0.25">
      <c r="A830" t="s">
        <v>1552</v>
      </c>
      <c r="B830" t="s">
        <v>1567</v>
      </c>
      <c r="C830" t="s">
        <v>1554</v>
      </c>
      <c r="D830" t="s">
        <v>1549</v>
      </c>
      <c r="E830">
        <v>10</v>
      </c>
      <c r="F830">
        <v>22925</v>
      </c>
      <c r="G830">
        <v>229250</v>
      </c>
    </row>
    <row r="831" spans="1:7" x14ac:dyDescent="0.25">
      <c r="A831" t="s">
        <v>1566</v>
      </c>
      <c r="B831" t="s">
        <v>1551</v>
      </c>
      <c r="C831" t="s">
        <v>1565</v>
      </c>
      <c r="D831" t="s">
        <v>1568</v>
      </c>
      <c r="E831">
        <v>10</v>
      </c>
      <c r="F831">
        <v>2683</v>
      </c>
      <c r="G831">
        <v>26830</v>
      </c>
    </row>
    <row r="832" spans="1:7" x14ac:dyDescent="0.25">
      <c r="A832" t="s">
        <v>1552</v>
      </c>
      <c r="B832" t="s">
        <v>1559</v>
      </c>
      <c r="C832" t="s">
        <v>1557</v>
      </c>
      <c r="D832" t="s">
        <v>1560</v>
      </c>
      <c r="E832">
        <v>2</v>
      </c>
      <c r="F832">
        <v>5194</v>
      </c>
      <c r="G832">
        <v>10388</v>
      </c>
    </row>
    <row r="833" spans="1:7" x14ac:dyDescent="0.25">
      <c r="A833" t="s">
        <v>1564</v>
      </c>
      <c r="B833" t="s">
        <v>1561</v>
      </c>
      <c r="C833" t="s">
        <v>1558</v>
      </c>
      <c r="D833" t="s">
        <v>1549</v>
      </c>
      <c r="E833">
        <v>4</v>
      </c>
      <c r="F833">
        <v>29980</v>
      </c>
      <c r="G833">
        <v>119920</v>
      </c>
    </row>
    <row r="834" spans="1:7" x14ac:dyDescent="0.25">
      <c r="A834" t="s">
        <v>1566</v>
      </c>
      <c r="B834" t="s">
        <v>1567</v>
      </c>
      <c r="C834" t="s">
        <v>1558</v>
      </c>
      <c r="D834" t="s">
        <v>1560</v>
      </c>
      <c r="E834">
        <v>10</v>
      </c>
      <c r="F834">
        <v>8785</v>
      </c>
      <c r="G834">
        <v>87850</v>
      </c>
    </row>
    <row r="835" spans="1:7" x14ac:dyDescent="0.25">
      <c r="A835" t="s">
        <v>1552</v>
      </c>
      <c r="B835" t="s">
        <v>1567</v>
      </c>
      <c r="C835" t="s">
        <v>1550</v>
      </c>
      <c r="D835" t="s">
        <v>1562</v>
      </c>
      <c r="E835">
        <v>9</v>
      </c>
      <c r="F835">
        <v>29684</v>
      </c>
      <c r="G835">
        <v>267156</v>
      </c>
    </row>
    <row r="836" spans="1:7" x14ac:dyDescent="0.25">
      <c r="A836" t="s">
        <v>1564</v>
      </c>
      <c r="B836" t="s">
        <v>1567</v>
      </c>
      <c r="C836" t="s">
        <v>1554</v>
      </c>
      <c r="D836" t="s">
        <v>1556</v>
      </c>
      <c r="E836">
        <v>2</v>
      </c>
      <c r="F836">
        <v>28773</v>
      </c>
      <c r="G836">
        <v>57546</v>
      </c>
    </row>
    <row r="837" spans="1:7" x14ac:dyDescent="0.25">
      <c r="A837" t="s">
        <v>1564</v>
      </c>
      <c r="B837" t="s">
        <v>1567</v>
      </c>
      <c r="C837" t="s">
        <v>1557</v>
      </c>
      <c r="D837" t="s">
        <v>1556</v>
      </c>
      <c r="E837">
        <v>7</v>
      </c>
      <c r="F837">
        <v>13995</v>
      </c>
      <c r="G837">
        <v>97965</v>
      </c>
    </row>
    <row r="838" spans="1:7" x14ac:dyDescent="0.25">
      <c r="A838" t="s">
        <v>1563</v>
      </c>
      <c r="B838" t="s">
        <v>1561</v>
      </c>
      <c r="C838" t="s">
        <v>1554</v>
      </c>
      <c r="D838" t="s">
        <v>1549</v>
      </c>
      <c r="E838">
        <v>5</v>
      </c>
      <c r="F838">
        <v>27345</v>
      </c>
      <c r="G838">
        <v>136725</v>
      </c>
    </row>
    <row r="839" spans="1:7" x14ac:dyDescent="0.25">
      <c r="A839" t="s">
        <v>1563</v>
      </c>
      <c r="B839" t="s">
        <v>1559</v>
      </c>
      <c r="C839" t="s">
        <v>1554</v>
      </c>
      <c r="D839" t="s">
        <v>1568</v>
      </c>
      <c r="E839">
        <v>6</v>
      </c>
      <c r="F839">
        <v>2812</v>
      </c>
      <c r="G839">
        <v>16872</v>
      </c>
    </row>
    <row r="840" spans="1:7" x14ac:dyDescent="0.25">
      <c r="A840" t="s">
        <v>1563</v>
      </c>
      <c r="B840" t="s">
        <v>1559</v>
      </c>
      <c r="C840" t="s">
        <v>1557</v>
      </c>
      <c r="D840" t="s">
        <v>1568</v>
      </c>
      <c r="E840">
        <v>6</v>
      </c>
      <c r="F840">
        <v>18392</v>
      </c>
      <c r="G840">
        <v>110352</v>
      </c>
    </row>
    <row r="841" spans="1:7" x14ac:dyDescent="0.25">
      <c r="A841" t="s">
        <v>1564</v>
      </c>
      <c r="B841" t="s">
        <v>1559</v>
      </c>
      <c r="C841" t="s">
        <v>1558</v>
      </c>
      <c r="D841" t="s">
        <v>1568</v>
      </c>
      <c r="E841">
        <v>6</v>
      </c>
      <c r="F841">
        <v>1790</v>
      </c>
      <c r="G841">
        <v>10740</v>
      </c>
    </row>
    <row r="842" spans="1:7" x14ac:dyDescent="0.25">
      <c r="A842" t="s">
        <v>1555</v>
      </c>
      <c r="B842" t="s">
        <v>1559</v>
      </c>
      <c r="C842" t="s">
        <v>1565</v>
      </c>
      <c r="D842" t="s">
        <v>1562</v>
      </c>
      <c r="E842">
        <v>7</v>
      </c>
      <c r="F842">
        <v>14160</v>
      </c>
      <c r="G842">
        <v>99120</v>
      </c>
    </row>
    <row r="843" spans="1:7" x14ac:dyDescent="0.25">
      <c r="A843" t="s">
        <v>1564</v>
      </c>
      <c r="B843" t="s">
        <v>1567</v>
      </c>
      <c r="C843" t="s">
        <v>1558</v>
      </c>
      <c r="D843" t="s">
        <v>1556</v>
      </c>
      <c r="E843">
        <v>3</v>
      </c>
      <c r="F843">
        <v>1749</v>
      </c>
      <c r="G843">
        <v>5247</v>
      </c>
    </row>
    <row r="844" spans="1:7" x14ac:dyDescent="0.25">
      <c r="A844" t="s">
        <v>1563</v>
      </c>
      <c r="B844" t="s">
        <v>1551</v>
      </c>
      <c r="C844" t="s">
        <v>1550</v>
      </c>
      <c r="D844" t="s">
        <v>1568</v>
      </c>
      <c r="E844">
        <v>9</v>
      </c>
      <c r="F844">
        <v>29687</v>
      </c>
      <c r="G844">
        <v>267183</v>
      </c>
    </row>
    <row r="845" spans="1:7" x14ac:dyDescent="0.25">
      <c r="A845" t="s">
        <v>1552</v>
      </c>
      <c r="B845" t="s">
        <v>1567</v>
      </c>
      <c r="C845" t="s">
        <v>1565</v>
      </c>
      <c r="D845" t="s">
        <v>1556</v>
      </c>
      <c r="E845">
        <v>6</v>
      </c>
      <c r="F845">
        <v>4904</v>
      </c>
      <c r="G845">
        <v>29424</v>
      </c>
    </row>
    <row r="846" spans="1:7" x14ac:dyDescent="0.25">
      <c r="A846" t="s">
        <v>1563</v>
      </c>
      <c r="B846" t="s">
        <v>1559</v>
      </c>
      <c r="C846" t="s">
        <v>1557</v>
      </c>
      <c r="D846" t="s">
        <v>1556</v>
      </c>
      <c r="E846">
        <v>2</v>
      </c>
      <c r="F846">
        <v>9745</v>
      </c>
      <c r="G846">
        <v>19490</v>
      </c>
    </row>
    <row r="847" spans="1:7" x14ac:dyDescent="0.25">
      <c r="A847" t="s">
        <v>1564</v>
      </c>
      <c r="B847" t="s">
        <v>1567</v>
      </c>
      <c r="C847" t="s">
        <v>1565</v>
      </c>
      <c r="D847" t="s">
        <v>1556</v>
      </c>
      <c r="E847">
        <v>7</v>
      </c>
      <c r="F847">
        <v>24778</v>
      </c>
      <c r="G847">
        <v>173446</v>
      </c>
    </row>
    <row r="848" spans="1:7" x14ac:dyDescent="0.25">
      <c r="A848" t="s">
        <v>1552</v>
      </c>
      <c r="B848" t="s">
        <v>1561</v>
      </c>
      <c r="C848" t="s">
        <v>1565</v>
      </c>
      <c r="D848" t="s">
        <v>1553</v>
      </c>
      <c r="E848">
        <v>6</v>
      </c>
      <c r="F848">
        <v>24702</v>
      </c>
      <c r="G848">
        <v>148212</v>
      </c>
    </row>
    <row r="849" spans="1:7" x14ac:dyDescent="0.25">
      <c r="A849" t="s">
        <v>1564</v>
      </c>
      <c r="B849" t="s">
        <v>1567</v>
      </c>
      <c r="C849" t="s">
        <v>1557</v>
      </c>
      <c r="D849" t="s">
        <v>1556</v>
      </c>
      <c r="E849">
        <v>2</v>
      </c>
      <c r="F849">
        <v>16345</v>
      </c>
      <c r="G849">
        <v>32690</v>
      </c>
    </row>
    <row r="850" spans="1:7" x14ac:dyDescent="0.25">
      <c r="A850" t="s">
        <v>1555</v>
      </c>
      <c r="B850" t="s">
        <v>1561</v>
      </c>
      <c r="C850" t="s">
        <v>1554</v>
      </c>
      <c r="D850" t="s">
        <v>1560</v>
      </c>
      <c r="E850">
        <v>5</v>
      </c>
      <c r="F850">
        <v>11286</v>
      </c>
      <c r="G850">
        <v>56430</v>
      </c>
    </row>
    <row r="851" spans="1:7" x14ac:dyDescent="0.25">
      <c r="A851" t="s">
        <v>1566</v>
      </c>
      <c r="B851" t="s">
        <v>1561</v>
      </c>
      <c r="C851" t="s">
        <v>1557</v>
      </c>
      <c r="D851" t="s">
        <v>1568</v>
      </c>
      <c r="E851">
        <v>10</v>
      </c>
      <c r="F851">
        <v>5301</v>
      </c>
      <c r="G851">
        <v>53010</v>
      </c>
    </row>
    <row r="852" spans="1:7" x14ac:dyDescent="0.25">
      <c r="A852" t="s">
        <v>1563</v>
      </c>
      <c r="B852" t="s">
        <v>1561</v>
      </c>
      <c r="C852" t="s">
        <v>1558</v>
      </c>
      <c r="D852" t="s">
        <v>1562</v>
      </c>
      <c r="E852">
        <v>3</v>
      </c>
      <c r="F852">
        <v>25111</v>
      </c>
      <c r="G852">
        <v>75333</v>
      </c>
    </row>
    <row r="853" spans="1:7" x14ac:dyDescent="0.25">
      <c r="A853" t="s">
        <v>1566</v>
      </c>
      <c r="B853" t="s">
        <v>1561</v>
      </c>
      <c r="C853" t="s">
        <v>1565</v>
      </c>
      <c r="D853" t="s">
        <v>1568</v>
      </c>
      <c r="E853">
        <v>1</v>
      </c>
      <c r="F853">
        <v>9611</v>
      </c>
      <c r="G853">
        <v>9611</v>
      </c>
    </row>
    <row r="854" spans="1:7" x14ac:dyDescent="0.25">
      <c r="A854" t="s">
        <v>1552</v>
      </c>
      <c r="B854" t="s">
        <v>1567</v>
      </c>
      <c r="C854" t="s">
        <v>1565</v>
      </c>
      <c r="D854" t="s">
        <v>1553</v>
      </c>
      <c r="E854">
        <v>10</v>
      </c>
      <c r="F854">
        <v>2781</v>
      </c>
      <c r="G854">
        <v>27810</v>
      </c>
    </row>
    <row r="855" spans="1:7" x14ac:dyDescent="0.25">
      <c r="A855" t="s">
        <v>1552</v>
      </c>
      <c r="B855" t="s">
        <v>1551</v>
      </c>
      <c r="C855" t="s">
        <v>1558</v>
      </c>
      <c r="D855" t="s">
        <v>1560</v>
      </c>
      <c r="E855">
        <v>6</v>
      </c>
      <c r="F855">
        <v>2460</v>
      </c>
      <c r="G855">
        <v>14760</v>
      </c>
    </row>
    <row r="856" spans="1:7" x14ac:dyDescent="0.25">
      <c r="A856" t="s">
        <v>1552</v>
      </c>
      <c r="B856" t="s">
        <v>1551</v>
      </c>
      <c r="C856" t="s">
        <v>1565</v>
      </c>
      <c r="D856" t="s">
        <v>1549</v>
      </c>
      <c r="E856">
        <v>8</v>
      </c>
      <c r="F856">
        <v>17575</v>
      </c>
      <c r="G856">
        <v>140600</v>
      </c>
    </row>
    <row r="857" spans="1:7" x14ac:dyDescent="0.25">
      <c r="A857" t="s">
        <v>1555</v>
      </c>
      <c r="B857" t="s">
        <v>1567</v>
      </c>
      <c r="C857" t="s">
        <v>1557</v>
      </c>
      <c r="D857" t="s">
        <v>1549</v>
      </c>
      <c r="E857">
        <v>6</v>
      </c>
      <c r="F857">
        <v>9550</v>
      </c>
      <c r="G857">
        <v>57300</v>
      </c>
    </row>
    <row r="858" spans="1:7" x14ac:dyDescent="0.25">
      <c r="A858" t="s">
        <v>1552</v>
      </c>
      <c r="B858" t="s">
        <v>1567</v>
      </c>
      <c r="C858" t="s">
        <v>1557</v>
      </c>
      <c r="D858" t="s">
        <v>1562</v>
      </c>
      <c r="E858">
        <v>7</v>
      </c>
      <c r="F858">
        <v>18027</v>
      </c>
      <c r="G858">
        <v>126189</v>
      </c>
    </row>
    <row r="859" spans="1:7" x14ac:dyDescent="0.25">
      <c r="A859" t="s">
        <v>1566</v>
      </c>
      <c r="B859" t="s">
        <v>1551</v>
      </c>
      <c r="C859" t="s">
        <v>1557</v>
      </c>
      <c r="D859" t="s">
        <v>1549</v>
      </c>
      <c r="E859">
        <v>2</v>
      </c>
      <c r="F859">
        <v>28544</v>
      </c>
      <c r="G859">
        <v>57088</v>
      </c>
    </row>
    <row r="860" spans="1:7" x14ac:dyDescent="0.25">
      <c r="A860" t="s">
        <v>1566</v>
      </c>
      <c r="B860" t="s">
        <v>1561</v>
      </c>
      <c r="C860" t="s">
        <v>1565</v>
      </c>
      <c r="D860" t="s">
        <v>1553</v>
      </c>
      <c r="E860">
        <v>2</v>
      </c>
      <c r="F860">
        <v>11428</v>
      </c>
      <c r="G860">
        <v>22856</v>
      </c>
    </row>
    <row r="861" spans="1:7" x14ac:dyDescent="0.25">
      <c r="A861" t="s">
        <v>1552</v>
      </c>
      <c r="B861" t="s">
        <v>1559</v>
      </c>
      <c r="C861" t="s">
        <v>1554</v>
      </c>
      <c r="D861" t="s">
        <v>1562</v>
      </c>
      <c r="E861">
        <v>10</v>
      </c>
      <c r="F861">
        <v>27156</v>
      </c>
      <c r="G861">
        <v>271560</v>
      </c>
    </row>
    <row r="862" spans="1:7" x14ac:dyDescent="0.25">
      <c r="A862" t="s">
        <v>1552</v>
      </c>
      <c r="B862" t="s">
        <v>1559</v>
      </c>
      <c r="C862" t="s">
        <v>1550</v>
      </c>
      <c r="D862" t="s">
        <v>1560</v>
      </c>
      <c r="E862">
        <v>5</v>
      </c>
      <c r="F862">
        <v>26007</v>
      </c>
      <c r="G862">
        <v>130035</v>
      </c>
    </row>
    <row r="863" spans="1:7" x14ac:dyDescent="0.25">
      <c r="A863" t="s">
        <v>1566</v>
      </c>
      <c r="B863" t="s">
        <v>1559</v>
      </c>
      <c r="C863" t="s">
        <v>1554</v>
      </c>
      <c r="D863" t="s">
        <v>1556</v>
      </c>
      <c r="E863">
        <v>1</v>
      </c>
      <c r="F863">
        <v>23226</v>
      </c>
      <c r="G863">
        <v>23226</v>
      </c>
    </row>
    <row r="864" spans="1:7" x14ac:dyDescent="0.25">
      <c r="A864" t="s">
        <v>1564</v>
      </c>
      <c r="B864" t="s">
        <v>1567</v>
      </c>
      <c r="C864" t="s">
        <v>1557</v>
      </c>
      <c r="D864" t="s">
        <v>1560</v>
      </c>
      <c r="E864">
        <v>9</v>
      </c>
      <c r="F864">
        <v>6747</v>
      </c>
      <c r="G864">
        <v>60723</v>
      </c>
    </row>
    <row r="865" spans="1:7" x14ac:dyDescent="0.25">
      <c r="A865" t="s">
        <v>1563</v>
      </c>
      <c r="B865" t="s">
        <v>1551</v>
      </c>
      <c r="C865" t="s">
        <v>1554</v>
      </c>
      <c r="D865" t="s">
        <v>1560</v>
      </c>
      <c r="E865">
        <v>1</v>
      </c>
      <c r="F865">
        <v>8936</v>
      </c>
      <c r="G865">
        <v>8936</v>
      </c>
    </row>
    <row r="866" spans="1:7" x14ac:dyDescent="0.25">
      <c r="A866" t="s">
        <v>1555</v>
      </c>
      <c r="B866" t="s">
        <v>1567</v>
      </c>
      <c r="C866" t="s">
        <v>1550</v>
      </c>
      <c r="D866" t="s">
        <v>1553</v>
      </c>
      <c r="E866">
        <v>6</v>
      </c>
      <c r="F866">
        <v>24083</v>
      </c>
      <c r="G866">
        <v>144498</v>
      </c>
    </row>
    <row r="867" spans="1:7" x14ac:dyDescent="0.25">
      <c r="A867" t="s">
        <v>1563</v>
      </c>
      <c r="B867" t="s">
        <v>1559</v>
      </c>
      <c r="C867" t="s">
        <v>1550</v>
      </c>
      <c r="D867" t="s">
        <v>1549</v>
      </c>
      <c r="E867">
        <v>8</v>
      </c>
      <c r="F867">
        <v>10785</v>
      </c>
      <c r="G867">
        <v>86280</v>
      </c>
    </row>
    <row r="868" spans="1:7" x14ac:dyDescent="0.25">
      <c r="A868" t="s">
        <v>1564</v>
      </c>
      <c r="B868" t="s">
        <v>1567</v>
      </c>
      <c r="C868" t="s">
        <v>1558</v>
      </c>
      <c r="D868" t="s">
        <v>1560</v>
      </c>
      <c r="E868">
        <v>8</v>
      </c>
      <c r="F868">
        <v>3480</v>
      </c>
      <c r="G868">
        <v>27840</v>
      </c>
    </row>
    <row r="869" spans="1:7" x14ac:dyDescent="0.25">
      <c r="A869" t="s">
        <v>1555</v>
      </c>
      <c r="B869" t="s">
        <v>1551</v>
      </c>
      <c r="C869" t="s">
        <v>1557</v>
      </c>
      <c r="D869" t="s">
        <v>1556</v>
      </c>
      <c r="E869">
        <v>2</v>
      </c>
      <c r="F869">
        <v>12589</v>
      </c>
      <c r="G869">
        <v>25178</v>
      </c>
    </row>
    <row r="870" spans="1:7" x14ac:dyDescent="0.25">
      <c r="A870" t="s">
        <v>1552</v>
      </c>
      <c r="B870" t="s">
        <v>1567</v>
      </c>
      <c r="C870" t="s">
        <v>1550</v>
      </c>
      <c r="D870" t="s">
        <v>1549</v>
      </c>
      <c r="E870">
        <v>8</v>
      </c>
      <c r="F870">
        <v>9414</v>
      </c>
      <c r="G870">
        <v>75312</v>
      </c>
    </row>
    <row r="871" spans="1:7" x14ac:dyDescent="0.25">
      <c r="A871" t="s">
        <v>1555</v>
      </c>
      <c r="B871" t="s">
        <v>1561</v>
      </c>
      <c r="C871" t="s">
        <v>1554</v>
      </c>
      <c r="D871" t="s">
        <v>1549</v>
      </c>
      <c r="E871">
        <v>5</v>
      </c>
      <c r="F871">
        <v>4429</v>
      </c>
      <c r="G871">
        <v>22145</v>
      </c>
    </row>
    <row r="872" spans="1:7" x14ac:dyDescent="0.25">
      <c r="A872" t="s">
        <v>1552</v>
      </c>
      <c r="B872" t="s">
        <v>1561</v>
      </c>
      <c r="C872" t="s">
        <v>1565</v>
      </c>
      <c r="D872" t="s">
        <v>1553</v>
      </c>
      <c r="E872">
        <v>3</v>
      </c>
      <c r="F872">
        <v>22262</v>
      </c>
      <c r="G872">
        <v>66786</v>
      </c>
    </row>
    <row r="873" spans="1:7" x14ac:dyDescent="0.25">
      <c r="A873" t="s">
        <v>1563</v>
      </c>
      <c r="B873" t="s">
        <v>1561</v>
      </c>
      <c r="C873" t="s">
        <v>1550</v>
      </c>
      <c r="D873" t="s">
        <v>1549</v>
      </c>
      <c r="E873">
        <v>8</v>
      </c>
      <c r="F873">
        <v>11183</v>
      </c>
      <c r="G873">
        <v>89464</v>
      </c>
    </row>
    <row r="874" spans="1:7" x14ac:dyDescent="0.25">
      <c r="A874" t="s">
        <v>1564</v>
      </c>
      <c r="B874" t="s">
        <v>1559</v>
      </c>
      <c r="C874" t="s">
        <v>1565</v>
      </c>
      <c r="D874" t="s">
        <v>1556</v>
      </c>
      <c r="E874">
        <v>7</v>
      </c>
      <c r="F874">
        <v>17847</v>
      </c>
      <c r="G874">
        <v>124929</v>
      </c>
    </row>
    <row r="875" spans="1:7" x14ac:dyDescent="0.25">
      <c r="A875" t="s">
        <v>1563</v>
      </c>
      <c r="B875" t="s">
        <v>1559</v>
      </c>
      <c r="C875" t="s">
        <v>1554</v>
      </c>
      <c r="D875" t="s">
        <v>1562</v>
      </c>
      <c r="E875">
        <v>2</v>
      </c>
      <c r="F875">
        <v>11101</v>
      </c>
      <c r="G875">
        <v>22202</v>
      </c>
    </row>
    <row r="876" spans="1:7" x14ac:dyDescent="0.25">
      <c r="A876" t="s">
        <v>1566</v>
      </c>
      <c r="B876" t="s">
        <v>1551</v>
      </c>
      <c r="C876" t="s">
        <v>1554</v>
      </c>
      <c r="D876" t="s">
        <v>1568</v>
      </c>
      <c r="E876">
        <v>5</v>
      </c>
      <c r="F876">
        <v>22583</v>
      </c>
      <c r="G876">
        <v>112915</v>
      </c>
    </row>
    <row r="877" spans="1:7" x14ac:dyDescent="0.25">
      <c r="A877" t="s">
        <v>1555</v>
      </c>
      <c r="B877" t="s">
        <v>1551</v>
      </c>
      <c r="C877" t="s">
        <v>1557</v>
      </c>
      <c r="D877" t="s">
        <v>1568</v>
      </c>
      <c r="E877">
        <v>2</v>
      </c>
      <c r="F877">
        <v>22793</v>
      </c>
      <c r="G877">
        <v>45586</v>
      </c>
    </row>
    <row r="878" spans="1:7" x14ac:dyDescent="0.25">
      <c r="A878" t="s">
        <v>1555</v>
      </c>
      <c r="B878" t="s">
        <v>1561</v>
      </c>
      <c r="C878" t="s">
        <v>1554</v>
      </c>
      <c r="D878" t="s">
        <v>1556</v>
      </c>
      <c r="E878">
        <v>3</v>
      </c>
      <c r="F878">
        <v>12654</v>
      </c>
      <c r="G878">
        <v>37962</v>
      </c>
    </row>
    <row r="879" spans="1:7" x14ac:dyDescent="0.25">
      <c r="A879" t="s">
        <v>1555</v>
      </c>
      <c r="B879" t="s">
        <v>1567</v>
      </c>
      <c r="C879" t="s">
        <v>1554</v>
      </c>
      <c r="D879" t="s">
        <v>1549</v>
      </c>
      <c r="E879">
        <v>3</v>
      </c>
      <c r="F879">
        <v>26488</v>
      </c>
      <c r="G879">
        <v>79464</v>
      </c>
    </row>
    <row r="880" spans="1:7" x14ac:dyDescent="0.25">
      <c r="A880" t="s">
        <v>1555</v>
      </c>
      <c r="B880" t="s">
        <v>1559</v>
      </c>
      <c r="C880" t="s">
        <v>1565</v>
      </c>
      <c r="D880" t="s">
        <v>1556</v>
      </c>
      <c r="E880">
        <v>6</v>
      </c>
      <c r="F880">
        <v>8625</v>
      </c>
      <c r="G880">
        <v>51750</v>
      </c>
    </row>
    <row r="881" spans="1:7" x14ac:dyDescent="0.25">
      <c r="A881" t="s">
        <v>1555</v>
      </c>
      <c r="B881" t="s">
        <v>1567</v>
      </c>
      <c r="C881" t="s">
        <v>1558</v>
      </c>
      <c r="D881" t="s">
        <v>1560</v>
      </c>
      <c r="E881">
        <v>10</v>
      </c>
      <c r="F881">
        <v>27527</v>
      </c>
      <c r="G881">
        <v>275270</v>
      </c>
    </row>
    <row r="882" spans="1:7" x14ac:dyDescent="0.25">
      <c r="A882" t="s">
        <v>1566</v>
      </c>
      <c r="B882" t="s">
        <v>1559</v>
      </c>
      <c r="C882" t="s">
        <v>1565</v>
      </c>
      <c r="D882" t="s">
        <v>1560</v>
      </c>
      <c r="E882">
        <v>2</v>
      </c>
      <c r="F882">
        <v>26268</v>
      </c>
      <c r="G882">
        <v>52536</v>
      </c>
    </row>
    <row r="883" spans="1:7" x14ac:dyDescent="0.25">
      <c r="A883" t="s">
        <v>1564</v>
      </c>
      <c r="B883" t="s">
        <v>1551</v>
      </c>
      <c r="C883" t="s">
        <v>1565</v>
      </c>
      <c r="D883" t="s">
        <v>1553</v>
      </c>
      <c r="E883">
        <v>2</v>
      </c>
      <c r="F883">
        <v>3225</v>
      </c>
      <c r="G883">
        <v>6450</v>
      </c>
    </row>
    <row r="884" spans="1:7" x14ac:dyDescent="0.25">
      <c r="A884" t="s">
        <v>1552</v>
      </c>
      <c r="B884" t="s">
        <v>1551</v>
      </c>
      <c r="C884" t="s">
        <v>1558</v>
      </c>
      <c r="D884" t="s">
        <v>1568</v>
      </c>
      <c r="E884">
        <v>9</v>
      </c>
      <c r="F884">
        <v>1638</v>
      </c>
      <c r="G884">
        <v>14742</v>
      </c>
    </row>
    <row r="885" spans="1:7" x14ac:dyDescent="0.25">
      <c r="A885" t="s">
        <v>1566</v>
      </c>
      <c r="B885" t="s">
        <v>1561</v>
      </c>
      <c r="C885" t="s">
        <v>1557</v>
      </c>
      <c r="D885" t="s">
        <v>1553</v>
      </c>
      <c r="E885">
        <v>8</v>
      </c>
      <c r="F885">
        <v>15611</v>
      </c>
      <c r="G885">
        <v>124888</v>
      </c>
    </row>
    <row r="886" spans="1:7" x14ac:dyDescent="0.25">
      <c r="A886" t="s">
        <v>1555</v>
      </c>
      <c r="B886" t="s">
        <v>1559</v>
      </c>
      <c r="C886" t="s">
        <v>1554</v>
      </c>
      <c r="D886" t="s">
        <v>1560</v>
      </c>
      <c r="E886">
        <v>4</v>
      </c>
      <c r="F886">
        <v>14439</v>
      </c>
      <c r="G886">
        <v>57756</v>
      </c>
    </row>
    <row r="887" spans="1:7" x14ac:dyDescent="0.25">
      <c r="A887" t="s">
        <v>1563</v>
      </c>
      <c r="B887" t="s">
        <v>1559</v>
      </c>
      <c r="C887" t="s">
        <v>1565</v>
      </c>
      <c r="D887" t="s">
        <v>1556</v>
      </c>
      <c r="E887">
        <v>6</v>
      </c>
      <c r="F887">
        <v>15410</v>
      </c>
      <c r="G887">
        <v>92460</v>
      </c>
    </row>
    <row r="888" spans="1:7" x14ac:dyDescent="0.25">
      <c r="A888" t="s">
        <v>1563</v>
      </c>
      <c r="B888" t="s">
        <v>1551</v>
      </c>
      <c r="C888" t="s">
        <v>1550</v>
      </c>
      <c r="D888" t="s">
        <v>1568</v>
      </c>
      <c r="E888">
        <v>10</v>
      </c>
      <c r="F888">
        <v>15429</v>
      </c>
      <c r="G888">
        <v>154290</v>
      </c>
    </row>
    <row r="889" spans="1:7" x14ac:dyDescent="0.25">
      <c r="A889" t="s">
        <v>1552</v>
      </c>
      <c r="B889" t="s">
        <v>1561</v>
      </c>
      <c r="C889" t="s">
        <v>1557</v>
      </c>
      <c r="D889" t="s">
        <v>1553</v>
      </c>
      <c r="E889">
        <v>7</v>
      </c>
      <c r="F889">
        <v>21652</v>
      </c>
      <c r="G889">
        <v>151564</v>
      </c>
    </row>
    <row r="890" spans="1:7" x14ac:dyDescent="0.25">
      <c r="A890" t="s">
        <v>1552</v>
      </c>
      <c r="B890" t="s">
        <v>1561</v>
      </c>
      <c r="C890" t="s">
        <v>1554</v>
      </c>
      <c r="D890" t="s">
        <v>1568</v>
      </c>
      <c r="E890">
        <v>7</v>
      </c>
      <c r="F890">
        <v>5861</v>
      </c>
      <c r="G890">
        <v>41027</v>
      </c>
    </row>
    <row r="891" spans="1:7" x14ac:dyDescent="0.25">
      <c r="A891" t="s">
        <v>1564</v>
      </c>
      <c r="B891" t="s">
        <v>1567</v>
      </c>
      <c r="C891" t="s">
        <v>1557</v>
      </c>
      <c r="D891" t="s">
        <v>1568</v>
      </c>
      <c r="E891">
        <v>9</v>
      </c>
      <c r="F891">
        <v>16546</v>
      </c>
      <c r="G891">
        <v>148914</v>
      </c>
    </row>
    <row r="892" spans="1:7" x14ac:dyDescent="0.25">
      <c r="A892" t="s">
        <v>1552</v>
      </c>
      <c r="B892" t="s">
        <v>1551</v>
      </c>
      <c r="C892" t="s">
        <v>1550</v>
      </c>
      <c r="D892" t="s">
        <v>1549</v>
      </c>
      <c r="E892">
        <v>4</v>
      </c>
      <c r="F892">
        <v>14569</v>
      </c>
      <c r="G892">
        <v>58276</v>
      </c>
    </row>
    <row r="893" spans="1:7" x14ac:dyDescent="0.25">
      <c r="A893" t="s">
        <v>1555</v>
      </c>
      <c r="B893" t="s">
        <v>1559</v>
      </c>
      <c r="C893" t="s">
        <v>1558</v>
      </c>
      <c r="D893" t="s">
        <v>1560</v>
      </c>
      <c r="E893">
        <v>6</v>
      </c>
      <c r="F893">
        <v>24517</v>
      </c>
      <c r="G893">
        <v>147102</v>
      </c>
    </row>
    <row r="894" spans="1:7" x14ac:dyDescent="0.25">
      <c r="A894" t="s">
        <v>1563</v>
      </c>
      <c r="B894" t="s">
        <v>1567</v>
      </c>
      <c r="C894" t="s">
        <v>1557</v>
      </c>
      <c r="D894" t="s">
        <v>1560</v>
      </c>
      <c r="E894">
        <v>7</v>
      </c>
      <c r="F894">
        <v>27706</v>
      </c>
      <c r="G894">
        <v>193942</v>
      </c>
    </row>
    <row r="895" spans="1:7" x14ac:dyDescent="0.25">
      <c r="A895" t="s">
        <v>1552</v>
      </c>
      <c r="B895" t="s">
        <v>1551</v>
      </c>
      <c r="C895" t="s">
        <v>1550</v>
      </c>
      <c r="D895" t="s">
        <v>1562</v>
      </c>
      <c r="E895">
        <v>10</v>
      </c>
      <c r="F895">
        <v>18456</v>
      </c>
      <c r="G895">
        <v>184560</v>
      </c>
    </row>
    <row r="896" spans="1:7" x14ac:dyDescent="0.25">
      <c r="A896" t="s">
        <v>1566</v>
      </c>
      <c r="B896" t="s">
        <v>1561</v>
      </c>
      <c r="C896" t="s">
        <v>1554</v>
      </c>
      <c r="D896" t="s">
        <v>1556</v>
      </c>
      <c r="E896">
        <v>9</v>
      </c>
      <c r="F896">
        <v>8443</v>
      </c>
      <c r="G896">
        <v>75987</v>
      </c>
    </row>
    <row r="897" spans="1:7" x14ac:dyDescent="0.25">
      <c r="A897" t="s">
        <v>1564</v>
      </c>
      <c r="B897" t="s">
        <v>1561</v>
      </c>
      <c r="C897" t="s">
        <v>1554</v>
      </c>
      <c r="D897" t="s">
        <v>1560</v>
      </c>
      <c r="E897">
        <v>5</v>
      </c>
      <c r="F897">
        <v>25916</v>
      </c>
      <c r="G897">
        <v>129580</v>
      </c>
    </row>
    <row r="898" spans="1:7" x14ac:dyDescent="0.25">
      <c r="A898" t="s">
        <v>1566</v>
      </c>
      <c r="B898" t="s">
        <v>1567</v>
      </c>
      <c r="C898" t="s">
        <v>1554</v>
      </c>
      <c r="D898" t="s">
        <v>1549</v>
      </c>
      <c r="E898">
        <v>4</v>
      </c>
      <c r="F898">
        <v>28393</v>
      </c>
      <c r="G898">
        <v>113572</v>
      </c>
    </row>
    <row r="899" spans="1:7" x14ac:dyDescent="0.25">
      <c r="A899" t="s">
        <v>1563</v>
      </c>
      <c r="B899" t="s">
        <v>1561</v>
      </c>
      <c r="C899" t="s">
        <v>1550</v>
      </c>
      <c r="D899" t="s">
        <v>1568</v>
      </c>
      <c r="E899">
        <v>10</v>
      </c>
      <c r="F899">
        <v>2928</v>
      </c>
      <c r="G899">
        <v>29280</v>
      </c>
    </row>
    <row r="900" spans="1:7" x14ac:dyDescent="0.25">
      <c r="A900" t="s">
        <v>1563</v>
      </c>
      <c r="B900" t="s">
        <v>1561</v>
      </c>
      <c r="C900" t="s">
        <v>1550</v>
      </c>
      <c r="D900" t="s">
        <v>1549</v>
      </c>
      <c r="E900">
        <v>8</v>
      </c>
      <c r="F900">
        <v>27832</v>
      </c>
      <c r="G900">
        <v>222656</v>
      </c>
    </row>
    <row r="901" spans="1:7" x14ac:dyDescent="0.25">
      <c r="A901" t="s">
        <v>1552</v>
      </c>
      <c r="B901" t="s">
        <v>1561</v>
      </c>
      <c r="C901" t="s">
        <v>1554</v>
      </c>
      <c r="D901" t="s">
        <v>1560</v>
      </c>
      <c r="E901">
        <v>8</v>
      </c>
      <c r="F901">
        <v>3384</v>
      </c>
      <c r="G901">
        <v>27072</v>
      </c>
    </row>
    <row r="902" spans="1:7" x14ac:dyDescent="0.25">
      <c r="A902" t="s">
        <v>1555</v>
      </c>
      <c r="B902" t="s">
        <v>1559</v>
      </c>
      <c r="C902" t="s">
        <v>1554</v>
      </c>
      <c r="D902" t="s">
        <v>1568</v>
      </c>
      <c r="E902">
        <v>10</v>
      </c>
      <c r="F902">
        <v>7369</v>
      </c>
      <c r="G902">
        <v>73690</v>
      </c>
    </row>
    <row r="903" spans="1:7" x14ac:dyDescent="0.25">
      <c r="A903" t="s">
        <v>1552</v>
      </c>
      <c r="B903" t="s">
        <v>1561</v>
      </c>
      <c r="C903" t="s">
        <v>1565</v>
      </c>
      <c r="D903" t="s">
        <v>1560</v>
      </c>
      <c r="E903">
        <v>1</v>
      </c>
      <c r="F903">
        <v>26800</v>
      </c>
      <c r="G903">
        <v>26800</v>
      </c>
    </row>
    <row r="904" spans="1:7" x14ac:dyDescent="0.25">
      <c r="A904" t="s">
        <v>1566</v>
      </c>
      <c r="B904" t="s">
        <v>1561</v>
      </c>
      <c r="C904" t="s">
        <v>1554</v>
      </c>
      <c r="D904" t="s">
        <v>1556</v>
      </c>
      <c r="E904">
        <v>6</v>
      </c>
      <c r="F904">
        <v>29353</v>
      </c>
      <c r="G904">
        <v>176118</v>
      </c>
    </row>
    <row r="905" spans="1:7" x14ac:dyDescent="0.25">
      <c r="A905" t="s">
        <v>1564</v>
      </c>
      <c r="B905" t="s">
        <v>1567</v>
      </c>
      <c r="C905" t="s">
        <v>1550</v>
      </c>
      <c r="D905" t="s">
        <v>1560</v>
      </c>
      <c r="E905">
        <v>1</v>
      </c>
      <c r="F905">
        <v>25751</v>
      </c>
      <c r="G905">
        <v>25751</v>
      </c>
    </row>
    <row r="906" spans="1:7" x14ac:dyDescent="0.25">
      <c r="A906" t="s">
        <v>1555</v>
      </c>
      <c r="B906" t="s">
        <v>1551</v>
      </c>
      <c r="C906" t="s">
        <v>1554</v>
      </c>
      <c r="D906" t="s">
        <v>1560</v>
      </c>
      <c r="E906">
        <v>6</v>
      </c>
      <c r="F906">
        <v>28957</v>
      </c>
      <c r="G906">
        <v>173742</v>
      </c>
    </row>
    <row r="907" spans="1:7" x14ac:dyDescent="0.25">
      <c r="A907" t="s">
        <v>1566</v>
      </c>
      <c r="B907" t="s">
        <v>1567</v>
      </c>
      <c r="C907" t="s">
        <v>1558</v>
      </c>
      <c r="D907" t="s">
        <v>1560</v>
      </c>
      <c r="E907">
        <v>1</v>
      </c>
      <c r="F907">
        <v>6489</v>
      </c>
      <c r="G907">
        <v>6489</v>
      </c>
    </row>
    <row r="908" spans="1:7" x14ac:dyDescent="0.25">
      <c r="A908" t="s">
        <v>1555</v>
      </c>
      <c r="B908" t="s">
        <v>1561</v>
      </c>
      <c r="C908" t="s">
        <v>1557</v>
      </c>
      <c r="D908" t="s">
        <v>1549</v>
      </c>
      <c r="E908">
        <v>10</v>
      </c>
      <c r="F908">
        <v>13337</v>
      </c>
      <c r="G908">
        <v>133370</v>
      </c>
    </row>
    <row r="909" spans="1:7" x14ac:dyDescent="0.25">
      <c r="A909" t="s">
        <v>1555</v>
      </c>
      <c r="B909" t="s">
        <v>1559</v>
      </c>
      <c r="C909" t="s">
        <v>1565</v>
      </c>
      <c r="D909" t="s">
        <v>1556</v>
      </c>
      <c r="E909">
        <v>7</v>
      </c>
      <c r="F909">
        <v>12182</v>
      </c>
      <c r="G909">
        <v>85274</v>
      </c>
    </row>
    <row r="910" spans="1:7" x14ac:dyDescent="0.25">
      <c r="A910" t="s">
        <v>1563</v>
      </c>
      <c r="B910" t="s">
        <v>1551</v>
      </c>
      <c r="C910" t="s">
        <v>1565</v>
      </c>
      <c r="D910" t="s">
        <v>1568</v>
      </c>
      <c r="E910">
        <v>4</v>
      </c>
      <c r="F910">
        <v>22833</v>
      </c>
      <c r="G910">
        <v>91332</v>
      </c>
    </row>
    <row r="911" spans="1:7" x14ac:dyDescent="0.25">
      <c r="A911" t="s">
        <v>1563</v>
      </c>
      <c r="B911" t="s">
        <v>1561</v>
      </c>
      <c r="C911" t="s">
        <v>1557</v>
      </c>
      <c r="D911" t="s">
        <v>1562</v>
      </c>
      <c r="E911">
        <v>7</v>
      </c>
      <c r="F911">
        <v>16184</v>
      </c>
      <c r="G911">
        <v>113288</v>
      </c>
    </row>
    <row r="912" spans="1:7" x14ac:dyDescent="0.25">
      <c r="A912" t="s">
        <v>1563</v>
      </c>
      <c r="B912" t="s">
        <v>1561</v>
      </c>
      <c r="C912" t="s">
        <v>1550</v>
      </c>
      <c r="D912" t="s">
        <v>1556</v>
      </c>
      <c r="E912">
        <v>7</v>
      </c>
      <c r="F912">
        <v>26587</v>
      </c>
      <c r="G912">
        <v>186109</v>
      </c>
    </row>
    <row r="913" spans="1:7" x14ac:dyDescent="0.25">
      <c r="A913" t="s">
        <v>1564</v>
      </c>
      <c r="B913" t="s">
        <v>1561</v>
      </c>
      <c r="C913" t="s">
        <v>1557</v>
      </c>
      <c r="D913" t="s">
        <v>1560</v>
      </c>
      <c r="E913">
        <v>1</v>
      </c>
      <c r="F913">
        <v>16049</v>
      </c>
      <c r="G913">
        <v>16049</v>
      </c>
    </row>
    <row r="914" spans="1:7" x14ac:dyDescent="0.25">
      <c r="A914" t="s">
        <v>1555</v>
      </c>
      <c r="B914" t="s">
        <v>1559</v>
      </c>
      <c r="C914" t="s">
        <v>1554</v>
      </c>
      <c r="D914" t="s">
        <v>1562</v>
      </c>
      <c r="E914">
        <v>10</v>
      </c>
      <c r="F914">
        <v>21762</v>
      </c>
      <c r="G914">
        <v>217620</v>
      </c>
    </row>
    <row r="915" spans="1:7" x14ac:dyDescent="0.25">
      <c r="A915" t="s">
        <v>1552</v>
      </c>
      <c r="B915" t="s">
        <v>1561</v>
      </c>
      <c r="C915" t="s">
        <v>1565</v>
      </c>
      <c r="D915" t="s">
        <v>1562</v>
      </c>
      <c r="E915">
        <v>4</v>
      </c>
      <c r="F915">
        <v>29504</v>
      </c>
      <c r="G915">
        <v>118016</v>
      </c>
    </row>
    <row r="916" spans="1:7" x14ac:dyDescent="0.25">
      <c r="A916" t="s">
        <v>1564</v>
      </c>
      <c r="B916" t="s">
        <v>1561</v>
      </c>
      <c r="C916" t="s">
        <v>1565</v>
      </c>
      <c r="D916" t="s">
        <v>1560</v>
      </c>
      <c r="E916">
        <v>6</v>
      </c>
      <c r="F916">
        <v>1888</v>
      </c>
      <c r="G916">
        <v>11328</v>
      </c>
    </row>
    <row r="917" spans="1:7" x14ac:dyDescent="0.25">
      <c r="A917" t="s">
        <v>1552</v>
      </c>
      <c r="B917" t="s">
        <v>1551</v>
      </c>
      <c r="C917" t="s">
        <v>1558</v>
      </c>
      <c r="D917" t="s">
        <v>1553</v>
      </c>
      <c r="E917">
        <v>9</v>
      </c>
      <c r="F917">
        <v>3020</v>
      </c>
      <c r="G917">
        <v>27180</v>
      </c>
    </row>
    <row r="918" spans="1:7" x14ac:dyDescent="0.25">
      <c r="A918" t="s">
        <v>1563</v>
      </c>
      <c r="B918" t="s">
        <v>1561</v>
      </c>
      <c r="C918" t="s">
        <v>1550</v>
      </c>
      <c r="D918" t="s">
        <v>1562</v>
      </c>
      <c r="E918">
        <v>3</v>
      </c>
      <c r="F918">
        <v>24596</v>
      </c>
      <c r="G918">
        <v>73788</v>
      </c>
    </row>
    <row r="919" spans="1:7" x14ac:dyDescent="0.25">
      <c r="A919" t="s">
        <v>1566</v>
      </c>
      <c r="B919" t="s">
        <v>1567</v>
      </c>
      <c r="C919" t="s">
        <v>1550</v>
      </c>
      <c r="D919" t="s">
        <v>1549</v>
      </c>
      <c r="E919">
        <v>9</v>
      </c>
      <c r="F919">
        <v>28332</v>
      </c>
      <c r="G919">
        <v>254988</v>
      </c>
    </row>
    <row r="920" spans="1:7" x14ac:dyDescent="0.25">
      <c r="A920" t="s">
        <v>1564</v>
      </c>
      <c r="B920" t="s">
        <v>1559</v>
      </c>
      <c r="C920" t="s">
        <v>1550</v>
      </c>
      <c r="D920" t="s">
        <v>1556</v>
      </c>
      <c r="E920">
        <v>2</v>
      </c>
      <c r="F920">
        <v>6073</v>
      </c>
      <c r="G920">
        <v>12146</v>
      </c>
    </row>
    <row r="921" spans="1:7" x14ac:dyDescent="0.25">
      <c r="A921" t="s">
        <v>1555</v>
      </c>
      <c r="B921" t="s">
        <v>1561</v>
      </c>
      <c r="C921" t="s">
        <v>1554</v>
      </c>
      <c r="D921" t="s">
        <v>1562</v>
      </c>
      <c r="E921">
        <v>6</v>
      </c>
      <c r="F921">
        <v>11924</v>
      </c>
      <c r="G921">
        <v>71544</v>
      </c>
    </row>
    <row r="922" spans="1:7" x14ac:dyDescent="0.25">
      <c r="A922" t="s">
        <v>1552</v>
      </c>
      <c r="B922" t="s">
        <v>1551</v>
      </c>
      <c r="C922" t="s">
        <v>1554</v>
      </c>
      <c r="D922" t="s">
        <v>1560</v>
      </c>
      <c r="E922">
        <v>2</v>
      </c>
      <c r="F922">
        <v>21604</v>
      </c>
      <c r="G922">
        <v>43208</v>
      </c>
    </row>
    <row r="923" spans="1:7" x14ac:dyDescent="0.25">
      <c r="A923" t="s">
        <v>1564</v>
      </c>
      <c r="B923" t="s">
        <v>1561</v>
      </c>
      <c r="C923" t="s">
        <v>1557</v>
      </c>
      <c r="D923" t="s">
        <v>1549</v>
      </c>
      <c r="E923">
        <v>6</v>
      </c>
      <c r="F923">
        <v>24925</v>
      </c>
      <c r="G923">
        <v>149550</v>
      </c>
    </row>
    <row r="924" spans="1:7" x14ac:dyDescent="0.25">
      <c r="A924" t="s">
        <v>1552</v>
      </c>
      <c r="B924" t="s">
        <v>1561</v>
      </c>
      <c r="C924" t="s">
        <v>1565</v>
      </c>
      <c r="D924" t="s">
        <v>1560</v>
      </c>
      <c r="E924">
        <v>8</v>
      </c>
      <c r="F924">
        <v>9608</v>
      </c>
      <c r="G924">
        <v>76864</v>
      </c>
    </row>
    <row r="925" spans="1:7" x14ac:dyDescent="0.25">
      <c r="A925" t="s">
        <v>1566</v>
      </c>
      <c r="B925" t="s">
        <v>1567</v>
      </c>
      <c r="C925" t="s">
        <v>1558</v>
      </c>
      <c r="D925" t="s">
        <v>1549</v>
      </c>
      <c r="E925">
        <v>8</v>
      </c>
      <c r="F925">
        <v>16144</v>
      </c>
      <c r="G925">
        <v>129152</v>
      </c>
    </row>
    <row r="926" spans="1:7" x14ac:dyDescent="0.25">
      <c r="A926" t="s">
        <v>1555</v>
      </c>
      <c r="B926" t="s">
        <v>1561</v>
      </c>
      <c r="C926" t="s">
        <v>1550</v>
      </c>
      <c r="D926" t="s">
        <v>1568</v>
      </c>
      <c r="E926">
        <v>8</v>
      </c>
      <c r="F926">
        <v>8528</v>
      </c>
      <c r="G926">
        <v>68224</v>
      </c>
    </row>
    <row r="927" spans="1:7" x14ac:dyDescent="0.25">
      <c r="A927" t="s">
        <v>1564</v>
      </c>
      <c r="B927" t="s">
        <v>1561</v>
      </c>
      <c r="C927" t="s">
        <v>1550</v>
      </c>
      <c r="D927" t="s">
        <v>1556</v>
      </c>
      <c r="E927">
        <v>9</v>
      </c>
      <c r="F927">
        <v>18667</v>
      </c>
      <c r="G927">
        <v>168003</v>
      </c>
    </row>
    <row r="928" spans="1:7" x14ac:dyDescent="0.25">
      <c r="A928" t="s">
        <v>1555</v>
      </c>
      <c r="B928" t="s">
        <v>1567</v>
      </c>
      <c r="C928" t="s">
        <v>1565</v>
      </c>
      <c r="D928" t="s">
        <v>1549</v>
      </c>
      <c r="E928">
        <v>5</v>
      </c>
      <c r="F928">
        <v>4382</v>
      </c>
      <c r="G928">
        <v>21910</v>
      </c>
    </row>
    <row r="929" spans="1:7" x14ac:dyDescent="0.25">
      <c r="A929" t="s">
        <v>1552</v>
      </c>
      <c r="B929" t="s">
        <v>1561</v>
      </c>
      <c r="C929" t="s">
        <v>1554</v>
      </c>
      <c r="D929" t="s">
        <v>1556</v>
      </c>
      <c r="E929">
        <v>1</v>
      </c>
      <c r="F929">
        <v>15839</v>
      </c>
      <c r="G929">
        <v>15839</v>
      </c>
    </row>
    <row r="930" spans="1:7" x14ac:dyDescent="0.25">
      <c r="A930" t="s">
        <v>1564</v>
      </c>
      <c r="B930" t="s">
        <v>1551</v>
      </c>
      <c r="C930" t="s">
        <v>1554</v>
      </c>
      <c r="D930" t="s">
        <v>1560</v>
      </c>
      <c r="E930">
        <v>5</v>
      </c>
      <c r="F930">
        <v>10813</v>
      </c>
      <c r="G930">
        <v>54065</v>
      </c>
    </row>
    <row r="931" spans="1:7" x14ac:dyDescent="0.25">
      <c r="A931" t="s">
        <v>1563</v>
      </c>
      <c r="B931" t="s">
        <v>1551</v>
      </c>
      <c r="C931" t="s">
        <v>1554</v>
      </c>
      <c r="D931" t="s">
        <v>1553</v>
      </c>
      <c r="E931">
        <v>9</v>
      </c>
      <c r="F931">
        <v>22911</v>
      </c>
      <c r="G931">
        <v>206199</v>
      </c>
    </row>
    <row r="932" spans="1:7" x14ac:dyDescent="0.25">
      <c r="A932" t="s">
        <v>1552</v>
      </c>
      <c r="B932" t="s">
        <v>1551</v>
      </c>
      <c r="C932" t="s">
        <v>1558</v>
      </c>
      <c r="D932" t="s">
        <v>1568</v>
      </c>
      <c r="E932">
        <v>6</v>
      </c>
      <c r="F932">
        <v>25966</v>
      </c>
      <c r="G932">
        <v>155796</v>
      </c>
    </row>
    <row r="933" spans="1:7" x14ac:dyDescent="0.25">
      <c r="A933" t="s">
        <v>1566</v>
      </c>
      <c r="B933" t="s">
        <v>1561</v>
      </c>
      <c r="C933" t="s">
        <v>1554</v>
      </c>
      <c r="D933" t="s">
        <v>1556</v>
      </c>
      <c r="E933">
        <v>5</v>
      </c>
      <c r="F933">
        <v>16806</v>
      </c>
      <c r="G933">
        <v>84030</v>
      </c>
    </row>
    <row r="934" spans="1:7" x14ac:dyDescent="0.25">
      <c r="A934" t="s">
        <v>1552</v>
      </c>
      <c r="B934" t="s">
        <v>1559</v>
      </c>
      <c r="C934" t="s">
        <v>1558</v>
      </c>
      <c r="D934" t="s">
        <v>1556</v>
      </c>
      <c r="E934">
        <v>7</v>
      </c>
      <c r="F934">
        <v>7103</v>
      </c>
      <c r="G934">
        <v>49721</v>
      </c>
    </row>
    <row r="935" spans="1:7" x14ac:dyDescent="0.25">
      <c r="A935" t="s">
        <v>1555</v>
      </c>
      <c r="B935" t="s">
        <v>1567</v>
      </c>
      <c r="C935" t="s">
        <v>1558</v>
      </c>
      <c r="D935" t="s">
        <v>1553</v>
      </c>
      <c r="E935">
        <v>1</v>
      </c>
      <c r="F935">
        <v>17358</v>
      </c>
      <c r="G935">
        <v>17358</v>
      </c>
    </row>
    <row r="936" spans="1:7" x14ac:dyDescent="0.25">
      <c r="A936" t="s">
        <v>1555</v>
      </c>
      <c r="B936" t="s">
        <v>1551</v>
      </c>
      <c r="C936" t="s">
        <v>1565</v>
      </c>
      <c r="D936" t="s">
        <v>1549</v>
      </c>
      <c r="E936">
        <v>8</v>
      </c>
      <c r="F936">
        <v>2966</v>
      </c>
      <c r="G936">
        <v>23728</v>
      </c>
    </row>
    <row r="937" spans="1:7" x14ac:dyDescent="0.25">
      <c r="A937" t="s">
        <v>1552</v>
      </c>
      <c r="B937" t="s">
        <v>1567</v>
      </c>
      <c r="C937" t="s">
        <v>1550</v>
      </c>
      <c r="D937" t="s">
        <v>1553</v>
      </c>
      <c r="E937">
        <v>3</v>
      </c>
      <c r="F937">
        <v>6938</v>
      </c>
      <c r="G937">
        <v>20814</v>
      </c>
    </row>
    <row r="938" spans="1:7" x14ac:dyDescent="0.25">
      <c r="A938" t="s">
        <v>1563</v>
      </c>
      <c r="B938" t="s">
        <v>1561</v>
      </c>
      <c r="C938" t="s">
        <v>1565</v>
      </c>
      <c r="D938" t="s">
        <v>1553</v>
      </c>
      <c r="E938">
        <v>6</v>
      </c>
      <c r="F938">
        <v>27779</v>
      </c>
      <c r="G938">
        <v>166674</v>
      </c>
    </row>
    <row r="939" spans="1:7" x14ac:dyDescent="0.25">
      <c r="A939" t="s">
        <v>1555</v>
      </c>
      <c r="B939" t="s">
        <v>1559</v>
      </c>
      <c r="C939" t="s">
        <v>1565</v>
      </c>
      <c r="D939" t="s">
        <v>1553</v>
      </c>
      <c r="E939">
        <v>7</v>
      </c>
      <c r="F939">
        <v>4398</v>
      </c>
      <c r="G939">
        <v>30786</v>
      </c>
    </row>
    <row r="940" spans="1:7" x14ac:dyDescent="0.25">
      <c r="A940" t="s">
        <v>1566</v>
      </c>
      <c r="B940" t="s">
        <v>1567</v>
      </c>
      <c r="C940" t="s">
        <v>1550</v>
      </c>
      <c r="D940" t="s">
        <v>1560</v>
      </c>
      <c r="E940">
        <v>9</v>
      </c>
      <c r="F940">
        <v>13139</v>
      </c>
      <c r="G940">
        <v>118251</v>
      </c>
    </row>
    <row r="941" spans="1:7" x14ac:dyDescent="0.25">
      <c r="A941" t="s">
        <v>1552</v>
      </c>
      <c r="B941" t="s">
        <v>1567</v>
      </c>
      <c r="C941" t="s">
        <v>1565</v>
      </c>
      <c r="D941" t="s">
        <v>1553</v>
      </c>
      <c r="E941">
        <v>7</v>
      </c>
      <c r="F941">
        <v>6763</v>
      </c>
      <c r="G941">
        <v>47341</v>
      </c>
    </row>
    <row r="942" spans="1:7" x14ac:dyDescent="0.25">
      <c r="A942" t="s">
        <v>1566</v>
      </c>
      <c r="B942" t="s">
        <v>1561</v>
      </c>
      <c r="C942" t="s">
        <v>1557</v>
      </c>
      <c r="D942" t="s">
        <v>1549</v>
      </c>
      <c r="E942">
        <v>4</v>
      </c>
      <c r="F942">
        <v>16703</v>
      </c>
      <c r="G942">
        <v>66812</v>
      </c>
    </row>
    <row r="943" spans="1:7" x14ac:dyDescent="0.25">
      <c r="A943" t="s">
        <v>1563</v>
      </c>
      <c r="B943" t="s">
        <v>1561</v>
      </c>
      <c r="C943" t="s">
        <v>1554</v>
      </c>
      <c r="D943" t="s">
        <v>1549</v>
      </c>
      <c r="E943">
        <v>1</v>
      </c>
      <c r="F943">
        <v>13366</v>
      </c>
      <c r="G943">
        <v>13366</v>
      </c>
    </row>
    <row r="944" spans="1:7" x14ac:dyDescent="0.25">
      <c r="A944" t="s">
        <v>1564</v>
      </c>
      <c r="B944" t="s">
        <v>1567</v>
      </c>
      <c r="C944" t="s">
        <v>1557</v>
      </c>
      <c r="D944" t="s">
        <v>1549</v>
      </c>
      <c r="E944">
        <v>3</v>
      </c>
      <c r="F944">
        <v>3298</v>
      </c>
      <c r="G944">
        <v>9894</v>
      </c>
    </row>
    <row r="945" spans="1:7" x14ac:dyDescent="0.25">
      <c r="A945" t="s">
        <v>1555</v>
      </c>
      <c r="B945" t="s">
        <v>1561</v>
      </c>
      <c r="C945" t="s">
        <v>1550</v>
      </c>
      <c r="D945" t="s">
        <v>1560</v>
      </c>
      <c r="E945">
        <v>9</v>
      </c>
      <c r="F945">
        <v>16345</v>
      </c>
      <c r="G945">
        <v>147105</v>
      </c>
    </row>
    <row r="946" spans="1:7" x14ac:dyDescent="0.25">
      <c r="A946" t="s">
        <v>1564</v>
      </c>
      <c r="B946" t="s">
        <v>1561</v>
      </c>
      <c r="C946" t="s">
        <v>1558</v>
      </c>
      <c r="D946" t="s">
        <v>1556</v>
      </c>
      <c r="E946">
        <v>5</v>
      </c>
      <c r="F946">
        <v>1012</v>
      </c>
      <c r="G946">
        <v>5060</v>
      </c>
    </row>
    <row r="947" spans="1:7" x14ac:dyDescent="0.25">
      <c r="A947" t="s">
        <v>1566</v>
      </c>
      <c r="B947" t="s">
        <v>1567</v>
      </c>
      <c r="C947" t="s">
        <v>1554</v>
      </c>
      <c r="D947" t="s">
        <v>1560</v>
      </c>
      <c r="E947">
        <v>2</v>
      </c>
      <c r="F947">
        <v>26541</v>
      </c>
      <c r="G947">
        <v>53082</v>
      </c>
    </row>
    <row r="948" spans="1:7" x14ac:dyDescent="0.25">
      <c r="A948" t="s">
        <v>1566</v>
      </c>
      <c r="B948" t="s">
        <v>1551</v>
      </c>
      <c r="C948" t="s">
        <v>1565</v>
      </c>
      <c r="D948" t="s">
        <v>1549</v>
      </c>
      <c r="E948">
        <v>7</v>
      </c>
      <c r="F948">
        <v>9552</v>
      </c>
      <c r="G948">
        <v>66864</v>
      </c>
    </row>
    <row r="949" spans="1:7" x14ac:dyDescent="0.25">
      <c r="A949" t="s">
        <v>1566</v>
      </c>
      <c r="B949" t="s">
        <v>1551</v>
      </c>
      <c r="C949" t="s">
        <v>1565</v>
      </c>
      <c r="D949" t="s">
        <v>1553</v>
      </c>
      <c r="E949">
        <v>4</v>
      </c>
      <c r="F949">
        <v>16473</v>
      </c>
      <c r="G949">
        <v>65892</v>
      </c>
    </row>
    <row r="950" spans="1:7" x14ac:dyDescent="0.25">
      <c r="A950" t="s">
        <v>1564</v>
      </c>
      <c r="B950" t="s">
        <v>1559</v>
      </c>
      <c r="C950" t="s">
        <v>1558</v>
      </c>
      <c r="D950" t="s">
        <v>1562</v>
      </c>
      <c r="E950">
        <v>4</v>
      </c>
      <c r="F950">
        <v>28178</v>
      </c>
      <c r="G950">
        <v>112712</v>
      </c>
    </row>
    <row r="951" spans="1:7" x14ac:dyDescent="0.25">
      <c r="A951" t="s">
        <v>1566</v>
      </c>
      <c r="B951" t="s">
        <v>1559</v>
      </c>
      <c r="C951" t="s">
        <v>1554</v>
      </c>
      <c r="D951" t="s">
        <v>1562</v>
      </c>
      <c r="E951">
        <v>5</v>
      </c>
      <c r="F951">
        <v>24944</v>
      </c>
      <c r="G951">
        <v>124720</v>
      </c>
    </row>
    <row r="952" spans="1:7" x14ac:dyDescent="0.25">
      <c r="A952" t="s">
        <v>1564</v>
      </c>
      <c r="B952" t="s">
        <v>1551</v>
      </c>
      <c r="C952" t="s">
        <v>1550</v>
      </c>
      <c r="D952" t="s">
        <v>1562</v>
      </c>
      <c r="E952">
        <v>8</v>
      </c>
      <c r="F952">
        <v>14952</v>
      </c>
      <c r="G952">
        <v>119616</v>
      </c>
    </row>
    <row r="953" spans="1:7" x14ac:dyDescent="0.25">
      <c r="A953" t="s">
        <v>1566</v>
      </c>
      <c r="B953" t="s">
        <v>1559</v>
      </c>
      <c r="C953" t="s">
        <v>1558</v>
      </c>
      <c r="D953" t="s">
        <v>1553</v>
      </c>
      <c r="E953">
        <v>2</v>
      </c>
      <c r="F953">
        <v>25007</v>
      </c>
      <c r="G953">
        <v>50014</v>
      </c>
    </row>
    <row r="954" spans="1:7" x14ac:dyDescent="0.25">
      <c r="A954" t="s">
        <v>1552</v>
      </c>
      <c r="B954" t="s">
        <v>1559</v>
      </c>
      <c r="C954" t="s">
        <v>1550</v>
      </c>
      <c r="D954" t="s">
        <v>1562</v>
      </c>
      <c r="E954">
        <v>3</v>
      </c>
      <c r="F954">
        <v>11413</v>
      </c>
      <c r="G954">
        <v>34239</v>
      </c>
    </row>
    <row r="955" spans="1:7" x14ac:dyDescent="0.25">
      <c r="A955" t="s">
        <v>1555</v>
      </c>
      <c r="B955" t="s">
        <v>1559</v>
      </c>
      <c r="C955" t="s">
        <v>1557</v>
      </c>
      <c r="D955" t="s">
        <v>1560</v>
      </c>
      <c r="E955">
        <v>10</v>
      </c>
      <c r="F955">
        <v>8855</v>
      </c>
      <c r="G955">
        <v>88550</v>
      </c>
    </row>
    <row r="956" spans="1:7" x14ac:dyDescent="0.25">
      <c r="A956" t="s">
        <v>1566</v>
      </c>
      <c r="B956" t="s">
        <v>1551</v>
      </c>
      <c r="C956" t="s">
        <v>1554</v>
      </c>
      <c r="D956" t="s">
        <v>1560</v>
      </c>
      <c r="E956">
        <v>3</v>
      </c>
      <c r="F956">
        <v>16914</v>
      </c>
      <c r="G956">
        <v>50742</v>
      </c>
    </row>
    <row r="957" spans="1:7" x14ac:dyDescent="0.25">
      <c r="A957" t="s">
        <v>1555</v>
      </c>
      <c r="B957" t="s">
        <v>1559</v>
      </c>
      <c r="C957" t="s">
        <v>1557</v>
      </c>
      <c r="D957" t="s">
        <v>1562</v>
      </c>
      <c r="E957">
        <v>3</v>
      </c>
      <c r="F957">
        <v>20380</v>
      </c>
      <c r="G957">
        <v>61140</v>
      </c>
    </row>
    <row r="958" spans="1:7" x14ac:dyDescent="0.25">
      <c r="A958" t="s">
        <v>1563</v>
      </c>
      <c r="B958" t="s">
        <v>1551</v>
      </c>
      <c r="C958" t="s">
        <v>1557</v>
      </c>
      <c r="D958" t="s">
        <v>1562</v>
      </c>
      <c r="E958">
        <v>9</v>
      </c>
      <c r="F958">
        <v>16156</v>
      </c>
      <c r="G958">
        <v>145404</v>
      </c>
    </row>
    <row r="959" spans="1:7" x14ac:dyDescent="0.25">
      <c r="A959" t="s">
        <v>1555</v>
      </c>
      <c r="B959" t="s">
        <v>1567</v>
      </c>
      <c r="C959" t="s">
        <v>1550</v>
      </c>
      <c r="D959" t="s">
        <v>1549</v>
      </c>
      <c r="E959">
        <v>1</v>
      </c>
      <c r="F959">
        <v>16722</v>
      </c>
      <c r="G959">
        <v>16722</v>
      </c>
    </row>
    <row r="960" spans="1:7" x14ac:dyDescent="0.25">
      <c r="A960" t="s">
        <v>1555</v>
      </c>
      <c r="B960" t="s">
        <v>1561</v>
      </c>
      <c r="C960" t="s">
        <v>1558</v>
      </c>
      <c r="D960" t="s">
        <v>1562</v>
      </c>
      <c r="E960">
        <v>5</v>
      </c>
      <c r="F960">
        <v>18288</v>
      </c>
      <c r="G960">
        <v>91440</v>
      </c>
    </row>
    <row r="961" spans="1:7" x14ac:dyDescent="0.25">
      <c r="A961" t="s">
        <v>1555</v>
      </c>
      <c r="B961" t="s">
        <v>1567</v>
      </c>
      <c r="C961" t="s">
        <v>1558</v>
      </c>
      <c r="D961" t="s">
        <v>1556</v>
      </c>
      <c r="E961">
        <v>2</v>
      </c>
      <c r="F961">
        <v>11530</v>
      </c>
      <c r="G961">
        <v>23060</v>
      </c>
    </row>
    <row r="962" spans="1:7" x14ac:dyDescent="0.25">
      <c r="A962" t="s">
        <v>1552</v>
      </c>
      <c r="B962" t="s">
        <v>1567</v>
      </c>
      <c r="C962" t="s">
        <v>1558</v>
      </c>
      <c r="D962" t="s">
        <v>1553</v>
      </c>
      <c r="E962">
        <v>5</v>
      </c>
      <c r="F962">
        <v>14009</v>
      </c>
      <c r="G962">
        <v>70045</v>
      </c>
    </row>
    <row r="963" spans="1:7" x14ac:dyDescent="0.25">
      <c r="A963" t="s">
        <v>1552</v>
      </c>
      <c r="B963" t="s">
        <v>1567</v>
      </c>
      <c r="C963" t="s">
        <v>1558</v>
      </c>
      <c r="D963" t="s">
        <v>1553</v>
      </c>
      <c r="E963">
        <v>4</v>
      </c>
      <c r="F963">
        <v>11790</v>
      </c>
      <c r="G963">
        <v>47160</v>
      </c>
    </row>
    <row r="964" spans="1:7" x14ac:dyDescent="0.25">
      <c r="A964" t="s">
        <v>1552</v>
      </c>
      <c r="B964" t="s">
        <v>1559</v>
      </c>
      <c r="C964" t="s">
        <v>1554</v>
      </c>
      <c r="D964" t="s">
        <v>1568</v>
      </c>
      <c r="E964">
        <v>4</v>
      </c>
      <c r="F964">
        <v>3511</v>
      </c>
      <c r="G964">
        <v>14044</v>
      </c>
    </row>
    <row r="965" spans="1:7" x14ac:dyDescent="0.25">
      <c r="A965" t="s">
        <v>1566</v>
      </c>
      <c r="B965" t="s">
        <v>1551</v>
      </c>
      <c r="C965" t="s">
        <v>1558</v>
      </c>
      <c r="D965" t="s">
        <v>1560</v>
      </c>
      <c r="E965">
        <v>3</v>
      </c>
      <c r="F965">
        <v>15085</v>
      </c>
      <c r="G965">
        <v>45255</v>
      </c>
    </row>
    <row r="966" spans="1:7" x14ac:dyDescent="0.25">
      <c r="A966" t="s">
        <v>1566</v>
      </c>
      <c r="B966" t="s">
        <v>1551</v>
      </c>
      <c r="C966" t="s">
        <v>1557</v>
      </c>
      <c r="D966" t="s">
        <v>1560</v>
      </c>
      <c r="E966">
        <v>4</v>
      </c>
      <c r="F966">
        <v>3234</v>
      </c>
      <c r="G966">
        <v>12936</v>
      </c>
    </row>
    <row r="967" spans="1:7" x14ac:dyDescent="0.25">
      <c r="A967" t="s">
        <v>1563</v>
      </c>
      <c r="B967" t="s">
        <v>1551</v>
      </c>
      <c r="C967" t="s">
        <v>1554</v>
      </c>
      <c r="D967" t="s">
        <v>1549</v>
      </c>
      <c r="E967">
        <v>8</v>
      </c>
      <c r="F967">
        <v>7712</v>
      </c>
      <c r="G967">
        <v>61696</v>
      </c>
    </row>
    <row r="968" spans="1:7" x14ac:dyDescent="0.25">
      <c r="A968" t="s">
        <v>1564</v>
      </c>
      <c r="B968" t="s">
        <v>1567</v>
      </c>
      <c r="C968" t="s">
        <v>1558</v>
      </c>
      <c r="D968" t="s">
        <v>1562</v>
      </c>
      <c r="E968">
        <v>4</v>
      </c>
      <c r="F968">
        <v>1487</v>
      </c>
      <c r="G968">
        <v>5948</v>
      </c>
    </row>
    <row r="969" spans="1:7" x14ac:dyDescent="0.25">
      <c r="A969" t="s">
        <v>1555</v>
      </c>
      <c r="B969" t="s">
        <v>1567</v>
      </c>
      <c r="C969" t="s">
        <v>1558</v>
      </c>
      <c r="D969" t="s">
        <v>1568</v>
      </c>
      <c r="E969">
        <v>2</v>
      </c>
      <c r="F969">
        <v>5498</v>
      </c>
      <c r="G969">
        <v>10996</v>
      </c>
    </row>
    <row r="970" spans="1:7" x14ac:dyDescent="0.25">
      <c r="A970" t="s">
        <v>1564</v>
      </c>
      <c r="B970" t="s">
        <v>1551</v>
      </c>
      <c r="C970" t="s">
        <v>1554</v>
      </c>
      <c r="D970" t="s">
        <v>1549</v>
      </c>
      <c r="E970">
        <v>4</v>
      </c>
      <c r="F970">
        <v>21447</v>
      </c>
      <c r="G970">
        <v>85788</v>
      </c>
    </row>
    <row r="971" spans="1:7" x14ac:dyDescent="0.25">
      <c r="A971" t="s">
        <v>1566</v>
      </c>
      <c r="B971" t="s">
        <v>1559</v>
      </c>
      <c r="C971" t="s">
        <v>1565</v>
      </c>
      <c r="D971" t="s">
        <v>1556</v>
      </c>
      <c r="E971">
        <v>3</v>
      </c>
      <c r="F971">
        <v>4665</v>
      </c>
      <c r="G971">
        <v>13995</v>
      </c>
    </row>
    <row r="972" spans="1:7" x14ac:dyDescent="0.25">
      <c r="A972" t="s">
        <v>1552</v>
      </c>
      <c r="B972" t="s">
        <v>1567</v>
      </c>
      <c r="C972" t="s">
        <v>1557</v>
      </c>
      <c r="D972" t="s">
        <v>1549</v>
      </c>
      <c r="E972">
        <v>8</v>
      </c>
      <c r="F972">
        <v>6980</v>
      </c>
      <c r="G972">
        <v>55840</v>
      </c>
    </row>
    <row r="973" spans="1:7" x14ac:dyDescent="0.25">
      <c r="A973" t="s">
        <v>1552</v>
      </c>
      <c r="B973" t="s">
        <v>1567</v>
      </c>
      <c r="C973" t="s">
        <v>1554</v>
      </c>
      <c r="D973" t="s">
        <v>1549</v>
      </c>
      <c r="E973">
        <v>9</v>
      </c>
      <c r="F973">
        <v>27038</v>
      </c>
      <c r="G973">
        <v>243342</v>
      </c>
    </row>
    <row r="974" spans="1:7" x14ac:dyDescent="0.25">
      <c r="A974" t="s">
        <v>1563</v>
      </c>
      <c r="B974" t="s">
        <v>1561</v>
      </c>
      <c r="C974" t="s">
        <v>1565</v>
      </c>
      <c r="D974" t="s">
        <v>1560</v>
      </c>
      <c r="E974">
        <v>7</v>
      </c>
      <c r="F974">
        <v>13302</v>
      </c>
      <c r="G974">
        <v>93114</v>
      </c>
    </row>
    <row r="975" spans="1:7" x14ac:dyDescent="0.25">
      <c r="A975" t="s">
        <v>1566</v>
      </c>
      <c r="B975" t="s">
        <v>1551</v>
      </c>
      <c r="C975" t="s">
        <v>1558</v>
      </c>
      <c r="D975" t="s">
        <v>1556</v>
      </c>
      <c r="E975">
        <v>2</v>
      </c>
      <c r="F975">
        <v>29464</v>
      </c>
      <c r="G975">
        <v>58928</v>
      </c>
    </row>
    <row r="976" spans="1:7" x14ac:dyDescent="0.25">
      <c r="A976" t="s">
        <v>1552</v>
      </c>
      <c r="B976" t="s">
        <v>1561</v>
      </c>
      <c r="C976" t="s">
        <v>1557</v>
      </c>
      <c r="D976" t="s">
        <v>1568</v>
      </c>
      <c r="E976">
        <v>4</v>
      </c>
      <c r="F976">
        <v>21331</v>
      </c>
      <c r="G976">
        <v>85324</v>
      </c>
    </row>
    <row r="977" spans="1:7" x14ac:dyDescent="0.25">
      <c r="A977" t="s">
        <v>1566</v>
      </c>
      <c r="B977" t="s">
        <v>1559</v>
      </c>
      <c r="C977" t="s">
        <v>1558</v>
      </c>
      <c r="D977" t="s">
        <v>1560</v>
      </c>
      <c r="E977">
        <v>3</v>
      </c>
      <c r="F977">
        <v>2227</v>
      </c>
      <c r="G977">
        <v>6681</v>
      </c>
    </row>
    <row r="978" spans="1:7" x14ac:dyDescent="0.25">
      <c r="A978" t="s">
        <v>1552</v>
      </c>
      <c r="B978" t="s">
        <v>1567</v>
      </c>
      <c r="C978" t="s">
        <v>1557</v>
      </c>
      <c r="D978" t="s">
        <v>1568</v>
      </c>
      <c r="E978">
        <v>10</v>
      </c>
      <c r="F978">
        <v>19588</v>
      </c>
      <c r="G978">
        <v>195880</v>
      </c>
    </row>
    <row r="979" spans="1:7" x14ac:dyDescent="0.25">
      <c r="A979" t="s">
        <v>1566</v>
      </c>
      <c r="B979" t="s">
        <v>1551</v>
      </c>
      <c r="C979" t="s">
        <v>1557</v>
      </c>
      <c r="D979" t="s">
        <v>1560</v>
      </c>
      <c r="E979">
        <v>6</v>
      </c>
      <c r="F979">
        <v>25204</v>
      </c>
      <c r="G979">
        <v>151224</v>
      </c>
    </row>
    <row r="980" spans="1:7" x14ac:dyDescent="0.25">
      <c r="A980" t="s">
        <v>1555</v>
      </c>
      <c r="B980" t="s">
        <v>1551</v>
      </c>
      <c r="C980" t="s">
        <v>1558</v>
      </c>
      <c r="D980" t="s">
        <v>1549</v>
      </c>
      <c r="E980">
        <v>10</v>
      </c>
      <c r="F980">
        <v>15418</v>
      </c>
      <c r="G980">
        <v>154180</v>
      </c>
    </row>
    <row r="981" spans="1:7" x14ac:dyDescent="0.25">
      <c r="A981" t="s">
        <v>1566</v>
      </c>
      <c r="B981" t="s">
        <v>1567</v>
      </c>
      <c r="C981" t="s">
        <v>1554</v>
      </c>
      <c r="D981" t="s">
        <v>1562</v>
      </c>
      <c r="E981">
        <v>8</v>
      </c>
      <c r="F981">
        <v>25751</v>
      </c>
      <c r="G981">
        <v>206008</v>
      </c>
    </row>
    <row r="982" spans="1:7" x14ac:dyDescent="0.25">
      <c r="A982" t="s">
        <v>1566</v>
      </c>
      <c r="B982" t="s">
        <v>1559</v>
      </c>
      <c r="C982" t="s">
        <v>1554</v>
      </c>
      <c r="D982" t="s">
        <v>1568</v>
      </c>
      <c r="E982">
        <v>1</v>
      </c>
      <c r="F982">
        <v>16703</v>
      </c>
      <c r="G982">
        <v>16703</v>
      </c>
    </row>
    <row r="983" spans="1:7" x14ac:dyDescent="0.25">
      <c r="A983" t="s">
        <v>1555</v>
      </c>
      <c r="B983" t="s">
        <v>1567</v>
      </c>
      <c r="C983" t="s">
        <v>1550</v>
      </c>
      <c r="D983" t="s">
        <v>1560</v>
      </c>
      <c r="E983">
        <v>1</v>
      </c>
      <c r="F983">
        <v>14845</v>
      </c>
      <c r="G983">
        <v>14845</v>
      </c>
    </row>
    <row r="984" spans="1:7" x14ac:dyDescent="0.25">
      <c r="A984" t="s">
        <v>1566</v>
      </c>
      <c r="B984" t="s">
        <v>1561</v>
      </c>
      <c r="C984" t="s">
        <v>1558</v>
      </c>
      <c r="D984" t="s">
        <v>1560</v>
      </c>
      <c r="E984">
        <v>6</v>
      </c>
      <c r="F984">
        <v>9303</v>
      </c>
      <c r="G984">
        <v>55818</v>
      </c>
    </row>
    <row r="985" spans="1:7" x14ac:dyDescent="0.25">
      <c r="A985" t="s">
        <v>1566</v>
      </c>
      <c r="B985" t="s">
        <v>1551</v>
      </c>
      <c r="C985" t="s">
        <v>1550</v>
      </c>
      <c r="D985" t="s">
        <v>1556</v>
      </c>
      <c r="E985">
        <v>1</v>
      </c>
      <c r="F985">
        <v>3498</v>
      </c>
      <c r="G985">
        <v>3498</v>
      </c>
    </row>
    <row r="986" spans="1:7" x14ac:dyDescent="0.25">
      <c r="A986" t="s">
        <v>1555</v>
      </c>
      <c r="B986" t="s">
        <v>1559</v>
      </c>
      <c r="C986" t="s">
        <v>1557</v>
      </c>
      <c r="D986" t="s">
        <v>1560</v>
      </c>
      <c r="E986">
        <v>5</v>
      </c>
      <c r="F986">
        <v>21884</v>
      </c>
      <c r="G986">
        <v>109420</v>
      </c>
    </row>
    <row r="987" spans="1:7" x14ac:dyDescent="0.25">
      <c r="A987" t="s">
        <v>1552</v>
      </c>
      <c r="B987" t="s">
        <v>1559</v>
      </c>
      <c r="C987" t="s">
        <v>1554</v>
      </c>
      <c r="D987" t="s">
        <v>1556</v>
      </c>
      <c r="E987">
        <v>7</v>
      </c>
      <c r="F987">
        <v>7052</v>
      </c>
      <c r="G987">
        <v>49364</v>
      </c>
    </row>
    <row r="988" spans="1:7" x14ac:dyDescent="0.25">
      <c r="A988" t="s">
        <v>1563</v>
      </c>
      <c r="B988" t="s">
        <v>1559</v>
      </c>
      <c r="C988" t="s">
        <v>1558</v>
      </c>
      <c r="D988" t="s">
        <v>1549</v>
      </c>
      <c r="E988">
        <v>5</v>
      </c>
      <c r="F988">
        <v>9313</v>
      </c>
      <c r="G988">
        <v>46565</v>
      </c>
    </row>
    <row r="989" spans="1:7" x14ac:dyDescent="0.25">
      <c r="A989" t="s">
        <v>1555</v>
      </c>
      <c r="B989" t="s">
        <v>1561</v>
      </c>
      <c r="C989" t="s">
        <v>1558</v>
      </c>
      <c r="D989" t="s">
        <v>1568</v>
      </c>
      <c r="E989">
        <v>7</v>
      </c>
      <c r="F989">
        <v>6105</v>
      </c>
      <c r="G989">
        <v>42735</v>
      </c>
    </row>
    <row r="990" spans="1:7" x14ac:dyDescent="0.25">
      <c r="A990" t="s">
        <v>1563</v>
      </c>
      <c r="B990" t="s">
        <v>1561</v>
      </c>
      <c r="C990" t="s">
        <v>1565</v>
      </c>
      <c r="D990" t="s">
        <v>1560</v>
      </c>
      <c r="E990">
        <v>5</v>
      </c>
      <c r="F990">
        <v>25443</v>
      </c>
      <c r="G990">
        <v>127215</v>
      </c>
    </row>
    <row r="991" spans="1:7" x14ac:dyDescent="0.25">
      <c r="A991" t="s">
        <v>1552</v>
      </c>
      <c r="B991" t="s">
        <v>1567</v>
      </c>
      <c r="C991" t="s">
        <v>1565</v>
      </c>
      <c r="D991" t="s">
        <v>1562</v>
      </c>
      <c r="E991">
        <v>8</v>
      </c>
      <c r="F991">
        <v>19124</v>
      </c>
      <c r="G991">
        <v>152992</v>
      </c>
    </row>
    <row r="992" spans="1:7" x14ac:dyDescent="0.25">
      <c r="A992" t="s">
        <v>1564</v>
      </c>
      <c r="B992" t="s">
        <v>1551</v>
      </c>
      <c r="C992" t="s">
        <v>1565</v>
      </c>
      <c r="D992" t="s">
        <v>1556</v>
      </c>
      <c r="E992">
        <v>8</v>
      </c>
      <c r="F992">
        <v>8385</v>
      </c>
      <c r="G992">
        <v>67080</v>
      </c>
    </row>
    <row r="993" spans="1:7" x14ac:dyDescent="0.25">
      <c r="A993" t="s">
        <v>1566</v>
      </c>
      <c r="B993" t="s">
        <v>1551</v>
      </c>
      <c r="C993" t="s">
        <v>1557</v>
      </c>
      <c r="D993" t="s">
        <v>1560</v>
      </c>
      <c r="E993">
        <v>7</v>
      </c>
      <c r="F993">
        <v>29575</v>
      </c>
      <c r="G993">
        <v>207025</v>
      </c>
    </row>
    <row r="994" spans="1:7" x14ac:dyDescent="0.25">
      <c r="A994" t="s">
        <v>1564</v>
      </c>
      <c r="B994" t="s">
        <v>1551</v>
      </c>
      <c r="C994" t="s">
        <v>1565</v>
      </c>
      <c r="D994" t="s">
        <v>1553</v>
      </c>
      <c r="E994">
        <v>10</v>
      </c>
      <c r="F994">
        <v>4333</v>
      </c>
      <c r="G994">
        <v>43330</v>
      </c>
    </row>
    <row r="995" spans="1:7" x14ac:dyDescent="0.25">
      <c r="A995" t="s">
        <v>1564</v>
      </c>
      <c r="B995" t="s">
        <v>1561</v>
      </c>
      <c r="C995" t="s">
        <v>1557</v>
      </c>
      <c r="D995" t="s">
        <v>1553</v>
      </c>
      <c r="E995">
        <v>4</v>
      </c>
      <c r="F995">
        <v>28991</v>
      </c>
      <c r="G995">
        <v>115964</v>
      </c>
    </row>
    <row r="996" spans="1:7" x14ac:dyDescent="0.25">
      <c r="A996" t="s">
        <v>1563</v>
      </c>
      <c r="B996" t="s">
        <v>1561</v>
      </c>
      <c r="C996" t="s">
        <v>1557</v>
      </c>
      <c r="D996" t="s">
        <v>1562</v>
      </c>
      <c r="E996">
        <v>4</v>
      </c>
      <c r="F996">
        <v>26557</v>
      </c>
      <c r="G996">
        <v>106228</v>
      </c>
    </row>
    <row r="997" spans="1:7" x14ac:dyDescent="0.25">
      <c r="A997" t="s">
        <v>1555</v>
      </c>
      <c r="B997" t="s">
        <v>1561</v>
      </c>
      <c r="C997" t="s">
        <v>1554</v>
      </c>
      <c r="D997" t="s">
        <v>1560</v>
      </c>
      <c r="E997">
        <v>8</v>
      </c>
      <c r="F997">
        <v>13932</v>
      </c>
      <c r="G997">
        <v>111456</v>
      </c>
    </row>
    <row r="998" spans="1:7" x14ac:dyDescent="0.25">
      <c r="A998" t="s">
        <v>1555</v>
      </c>
      <c r="B998" t="s">
        <v>1559</v>
      </c>
      <c r="C998" t="s">
        <v>1558</v>
      </c>
      <c r="D998" t="s">
        <v>1549</v>
      </c>
      <c r="E998">
        <v>10</v>
      </c>
      <c r="F998">
        <v>24276</v>
      </c>
      <c r="G998">
        <v>242760</v>
      </c>
    </row>
    <row r="999" spans="1:7" x14ac:dyDescent="0.25">
      <c r="A999" t="s">
        <v>1555</v>
      </c>
      <c r="B999" t="s">
        <v>1551</v>
      </c>
      <c r="C999" t="s">
        <v>1557</v>
      </c>
      <c r="D999" t="s">
        <v>1556</v>
      </c>
      <c r="E999">
        <v>4</v>
      </c>
      <c r="F999">
        <v>8008</v>
      </c>
      <c r="G999">
        <v>32032</v>
      </c>
    </row>
    <row r="1000" spans="1:7" x14ac:dyDescent="0.25">
      <c r="A1000" t="s">
        <v>1555</v>
      </c>
      <c r="B1000" t="s">
        <v>1551</v>
      </c>
      <c r="C1000" t="s">
        <v>1554</v>
      </c>
      <c r="D1000" t="s">
        <v>1553</v>
      </c>
      <c r="E1000">
        <v>10</v>
      </c>
      <c r="F1000">
        <v>23867</v>
      </c>
      <c r="G1000">
        <v>238670</v>
      </c>
    </row>
    <row r="1001" spans="1:7" x14ac:dyDescent="0.25">
      <c r="A1001" t="s">
        <v>1552</v>
      </c>
      <c r="B1001" t="s">
        <v>1551</v>
      </c>
      <c r="C1001" t="s">
        <v>1550</v>
      </c>
      <c r="D1001" t="s">
        <v>1549</v>
      </c>
      <c r="E1001">
        <v>8</v>
      </c>
      <c r="F1001">
        <v>26072</v>
      </c>
      <c r="G1001">
        <v>208576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5EF9E-B0B3-409F-996C-63F869EC50FB}">
  <dimension ref="A1:H90"/>
  <sheetViews>
    <sheetView topLeftCell="A81" workbookViewId="0">
      <selection activeCell="A82" sqref="A82"/>
    </sheetView>
  </sheetViews>
  <sheetFormatPr defaultRowHeight="15" x14ac:dyDescent="0.25"/>
  <cols>
    <col min="1" max="1" width="15.5703125" bestFit="1" customWidth="1"/>
    <col min="2" max="2" width="16.28515625" bestFit="1" customWidth="1"/>
    <col min="3" max="6" width="12" bestFit="1" customWidth="1"/>
    <col min="7" max="8" width="11.28515625" bestFit="1" customWidth="1"/>
    <col min="9" max="11" width="9.42578125" bestFit="1" customWidth="1"/>
    <col min="12" max="12" width="9.140625" bestFit="1" customWidth="1"/>
    <col min="13" max="23" width="9.42578125" bestFit="1" customWidth="1"/>
    <col min="24" max="24" width="9" bestFit="1" customWidth="1"/>
    <col min="25" max="29" width="9.42578125" bestFit="1" customWidth="1"/>
    <col min="30" max="30" width="9.7109375" bestFit="1" customWidth="1"/>
    <col min="31" max="35" width="9.42578125" bestFit="1" customWidth="1"/>
    <col min="36" max="36" width="8.85546875" bestFit="1" customWidth="1"/>
    <col min="37" max="37" width="11.28515625" bestFit="1" customWidth="1"/>
    <col min="38" max="57" width="5" bestFit="1" customWidth="1"/>
    <col min="58" max="642" width="6" bestFit="1" customWidth="1"/>
    <col min="643" max="993" width="7" bestFit="1" customWidth="1"/>
    <col min="994" max="994" width="11.28515625" bestFit="1" customWidth="1"/>
  </cols>
  <sheetData>
    <row r="1" spans="1:6" ht="46.5" x14ac:dyDescent="0.7">
      <c r="A1" s="27" t="s">
        <v>1581</v>
      </c>
      <c r="B1" s="27"/>
      <c r="C1" s="27"/>
      <c r="D1" s="27"/>
      <c r="E1" s="27"/>
      <c r="F1" s="27"/>
    </row>
    <row r="3" spans="1:6" ht="34.5" customHeight="1" x14ac:dyDescent="0.25">
      <c r="A3" s="26" t="s">
        <v>1575</v>
      </c>
      <c r="B3" s="26"/>
      <c r="C3" s="26"/>
      <c r="D3" s="26"/>
      <c r="E3" s="26"/>
      <c r="F3" s="26"/>
    </row>
    <row r="6" spans="1:6" x14ac:dyDescent="0.25">
      <c r="A6" s="24" t="s">
        <v>1573</v>
      </c>
      <c r="B6" t="s">
        <v>1574</v>
      </c>
    </row>
    <row r="7" spans="1:6" x14ac:dyDescent="0.25">
      <c r="A7" s="20" t="s">
        <v>1561</v>
      </c>
      <c r="B7">
        <v>21307793</v>
      </c>
    </row>
    <row r="8" spans="1:6" x14ac:dyDescent="0.25">
      <c r="A8" s="20" t="s">
        <v>1551</v>
      </c>
      <c r="B8">
        <v>20360183</v>
      </c>
    </row>
    <row r="9" spans="1:6" x14ac:dyDescent="0.25">
      <c r="A9" s="20" t="s">
        <v>1567</v>
      </c>
      <c r="B9">
        <v>23456425</v>
      </c>
    </row>
    <row r="10" spans="1:6" x14ac:dyDescent="0.25">
      <c r="A10" s="20" t="s">
        <v>1559</v>
      </c>
      <c r="B10">
        <v>19548235</v>
      </c>
    </row>
    <row r="11" spans="1:6" x14ac:dyDescent="0.25">
      <c r="A11" s="20" t="s">
        <v>1548</v>
      </c>
      <c r="B11">
        <v>84672636</v>
      </c>
    </row>
    <row r="12" spans="1:6" x14ac:dyDescent="0.25">
      <c r="A12" s="20"/>
    </row>
    <row r="14" spans="1:6" ht="29.25" customHeight="1" x14ac:dyDescent="0.25">
      <c r="A14" s="26" t="s">
        <v>1577</v>
      </c>
      <c r="B14" s="26"/>
      <c r="C14" s="26"/>
      <c r="D14" s="26"/>
      <c r="E14" s="26"/>
      <c r="F14" s="26"/>
    </row>
    <row r="16" spans="1:6" x14ac:dyDescent="0.25">
      <c r="A16" s="24" t="s">
        <v>1573</v>
      </c>
      <c r="B16" t="s">
        <v>1578</v>
      </c>
      <c r="C16" t="s">
        <v>1574</v>
      </c>
    </row>
    <row r="17" spans="1:6" x14ac:dyDescent="0.25">
      <c r="A17" s="20" t="s">
        <v>1566</v>
      </c>
      <c r="B17">
        <v>207</v>
      </c>
      <c r="C17">
        <v>16258754</v>
      </c>
    </row>
    <row r="18" spans="1:6" x14ac:dyDescent="0.25">
      <c r="A18" s="20" t="s">
        <v>1564</v>
      </c>
      <c r="B18">
        <v>195</v>
      </c>
      <c r="C18">
        <v>16025283</v>
      </c>
    </row>
    <row r="19" spans="1:6" x14ac:dyDescent="0.25">
      <c r="A19" s="20" t="s">
        <v>1555</v>
      </c>
      <c r="B19">
        <v>212</v>
      </c>
      <c r="C19">
        <v>18646830</v>
      </c>
    </row>
    <row r="20" spans="1:6" x14ac:dyDescent="0.25">
      <c r="A20" s="20" t="s">
        <v>1552</v>
      </c>
      <c r="B20">
        <v>195</v>
      </c>
      <c r="C20">
        <v>17914877</v>
      </c>
    </row>
    <row r="21" spans="1:6" x14ac:dyDescent="0.25">
      <c r="A21" s="20" t="s">
        <v>1563</v>
      </c>
      <c r="B21">
        <v>191</v>
      </c>
      <c r="C21">
        <v>15826892</v>
      </c>
    </row>
    <row r="22" spans="1:6" x14ac:dyDescent="0.25">
      <c r="A22" s="20" t="s">
        <v>1548</v>
      </c>
      <c r="B22">
        <v>1000</v>
      </c>
      <c r="C22">
        <v>84672636</v>
      </c>
    </row>
    <row r="24" spans="1:6" ht="51" customHeight="1" x14ac:dyDescent="0.25">
      <c r="A24" s="26" t="s">
        <v>1579</v>
      </c>
      <c r="B24" s="26"/>
      <c r="C24" s="26"/>
      <c r="D24" s="26"/>
      <c r="E24" s="26"/>
      <c r="F24" s="26"/>
    </row>
    <row r="25" spans="1:6" ht="15" customHeight="1" x14ac:dyDescent="0.25"/>
    <row r="26" spans="1:6" x14ac:dyDescent="0.25">
      <c r="A26" s="24" t="s">
        <v>1573</v>
      </c>
      <c r="B26" t="s">
        <v>1574</v>
      </c>
    </row>
    <row r="27" spans="1:6" x14ac:dyDescent="0.25">
      <c r="A27" s="20" t="s">
        <v>1556</v>
      </c>
      <c r="B27">
        <v>12272270</v>
      </c>
    </row>
    <row r="28" spans="1:6" x14ac:dyDescent="0.25">
      <c r="A28" s="20" t="s">
        <v>1562</v>
      </c>
      <c r="B28">
        <v>14745990</v>
      </c>
    </row>
    <row r="29" spans="1:6" x14ac:dyDescent="0.25">
      <c r="A29" s="20" t="s">
        <v>1553</v>
      </c>
      <c r="B29">
        <v>14200255</v>
      </c>
    </row>
    <row r="30" spans="1:6" x14ac:dyDescent="0.25">
      <c r="A30" s="20" t="s">
        <v>1549</v>
      </c>
      <c r="B30">
        <v>14008599</v>
      </c>
    </row>
    <row r="31" spans="1:6" x14ac:dyDescent="0.25">
      <c r="A31" s="20" t="s">
        <v>1568</v>
      </c>
      <c r="B31">
        <v>14263988</v>
      </c>
    </row>
    <row r="32" spans="1:6" x14ac:dyDescent="0.25">
      <c r="A32" s="20" t="s">
        <v>1560</v>
      </c>
      <c r="B32">
        <v>15181534</v>
      </c>
    </row>
    <row r="33" spans="1:6" x14ac:dyDescent="0.25">
      <c r="A33" s="20" t="s">
        <v>1548</v>
      </c>
      <c r="B33">
        <v>84672636</v>
      </c>
    </row>
    <row r="36" spans="1:6" ht="32.25" customHeight="1" x14ac:dyDescent="0.25">
      <c r="A36" s="26" t="s">
        <v>1580</v>
      </c>
      <c r="B36" s="26"/>
      <c r="C36" s="26"/>
      <c r="D36" s="26"/>
      <c r="E36" s="26"/>
      <c r="F36" s="26"/>
    </row>
    <row r="38" spans="1:6" x14ac:dyDescent="0.25">
      <c r="A38" s="24" t="s">
        <v>1574</v>
      </c>
      <c r="B38" s="24" t="s">
        <v>1576</v>
      </c>
    </row>
    <row r="39" spans="1:6" x14ac:dyDescent="0.25">
      <c r="A39" s="24" t="s">
        <v>1573</v>
      </c>
      <c r="B39" t="s">
        <v>1561</v>
      </c>
      <c r="C39" t="s">
        <v>1551</v>
      </c>
      <c r="D39" t="s">
        <v>1567</v>
      </c>
      <c r="E39" t="s">
        <v>1559</v>
      </c>
      <c r="F39" t="s">
        <v>1548</v>
      </c>
    </row>
    <row r="40" spans="1:6" x14ac:dyDescent="0.25">
      <c r="A40" s="20" t="s">
        <v>1565</v>
      </c>
      <c r="B40" s="25">
        <v>4.3953881393275628E-2</v>
      </c>
      <c r="C40" s="25">
        <v>3.9703133843618614E-2</v>
      </c>
      <c r="D40" s="25">
        <v>4.3040268641217218E-2</v>
      </c>
      <c r="E40" s="25">
        <v>5.0739674621680608E-2</v>
      </c>
      <c r="F40" s="25">
        <v>0.17743695849979207</v>
      </c>
    </row>
    <row r="41" spans="1:6" x14ac:dyDescent="0.25">
      <c r="A41" s="20" t="s">
        <v>1550</v>
      </c>
      <c r="B41" s="25">
        <v>5.425403314478127E-2</v>
      </c>
      <c r="C41" s="25">
        <v>6.1109955287089443E-2</v>
      </c>
      <c r="D41" s="25">
        <v>5.6181704322988128E-2</v>
      </c>
      <c r="E41" s="25">
        <v>4.9775939419200319E-2</v>
      </c>
      <c r="F41" s="25">
        <v>0.22132163217405917</v>
      </c>
    </row>
    <row r="42" spans="1:6" x14ac:dyDescent="0.25">
      <c r="A42" s="20" t="s">
        <v>1558</v>
      </c>
      <c r="B42" s="25">
        <v>6.0718919864500259E-2</v>
      </c>
      <c r="C42" s="25">
        <v>5.5765312420414076E-2</v>
      </c>
      <c r="D42" s="25">
        <v>5.6603883219131151E-2</v>
      </c>
      <c r="E42" s="25">
        <v>4.1238931075678331E-2</v>
      </c>
      <c r="F42" s="25">
        <v>0.21432704657972382</v>
      </c>
    </row>
    <row r="43" spans="1:6" x14ac:dyDescent="0.25">
      <c r="A43" s="20" t="s">
        <v>1554</v>
      </c>
      <c r="B43" s="25">
        <v>4.2477453991157189E-2</v>
      </c>
      <c r="C43" s="25">
        <v>3.6180012158827796E-2</v>
      </c>
      <c r="D43" s="25">
        <v>6.4259615113435226E-2</v>
      </c>
      <c r="E43" s="25">
        <v>3.9523548079925135E-2</v>
      </c>
      <c r="F43" s="25">
        <v>0.18244062934334535</v>
      </c>
    </row>
    <row r="44" spans="1:6" x14ac:dyDescent="0.25">
      <c r="A44" s="20" t="s">
        <v>1557</v>
      </c>
      <c r="B44" s="25">
        <v>5.0244815810387665E-2</v>
      </c>
      <c r="C44" s="25">
        <v>4.769923544130597E-2</v>
      </c>
      <c r="D44" s="25">
        <v>5.6939387123840106E-2</v>
      </c>
      <c r="E44" s="25">
        <v>4.9590295027545854E-2</v>
      </c>
      <c r="F44" s="25">
        <v>0.20447373340307959</v>
      </c>
    </row>
    <row r="45" spans="1:6" x14ac:dyDescent="0.25">
      <c r="A45" s="20" t="s">
        <v>1548</v>
      </c>
      <c r="B45" s="25">
        <v>0.25164910420410203</v>
      </c>
      <c r="C45" s="25">
        <v>0.24045764915125589</v>
      </c>
      <c r="D45" s="25">
        <v>0.27702485842061181</v>
      </c>
      <c r="E45" s="25">
        <v>0.23086838822403025</v>
      </c>
      <c r="F45" s="25">
        <v>1</v>
      </c>
    </row>
    <row r="48" spans="1:6" ht="31.5" customHeight="1" x14ac:dyDescent="0.25">
      <c r="A48" s="26" t="s">
        <v>1582</v>
      </c>
      <c r="B48" s="26"/>
      <c r="C48" s="26"/>
      <c r="D48" s="26"/>
      <c r="E48" s="26"/>
      <c r="F48" s="26"/>
    </row>
    <row r="50" spans="1:8" x14ac:dyDescent="0.25">
      <c r="A50" s="24" t="s">
        <v>1573</v>
      </c>
      <c r="B50" t="s">
        <v>1574</v>
      </c>
    </row>
    <row r="51" spans="1:8" x14ac:dyDescent="0.25">
      <c r="A51" s="20" t="s">
        <v>1566</v>
      </c>
      <c r="B51">
        <v>16258754</v>
      </c>
    </row>
    <row r="52" spans="1:8" x14ac:dyDescent="0.25">
      <c r="A52" s="20" t="s">
        <v>1555</v>
      </c>
      <c r="B52">
        <v>18646830</v>
      </c>
    </row>
    <row r="53" spans="1:8" x14ac:dyDescent="0.25">
      <c r="A53" s="20" t="s">
        <v>1552</v>
      </c>
      <c r="B53">
        <v>17914877</v>
      </c>
    </row>
    <row r="54" spans="1:8" x14ac:dyDescent="0.25">
      <c r="A54" s="20" t="s">
        <v>1548</v>
      </c>
      <c r="B54">
        <v>52820461</v>
      </c>
    </row>
    <row r="57" spans="1:8" ht="42.75" customHeight="1" x14ac:dyDescent="0.25">
      <c r="A57" s="26" t="s">
        <v>1583</v>
      </c>
      <c r="B57" s="26"/>
      <c r="C57" s="26"/>
      <c r="D57" s="26"/>
      <c r="E57" s="26"/>
      <c r="F57" s="26"/>
    </row>
    <row r="59" spans="1:8" x14ac:dyDescent="0.25">
      <c r="A59" s="24" t="s">
        <v>1574</v>
      </c>
      <c r="B59" s="24" t="s">
        <v>1576</v>
      </c>
    </row>
    <row r="60" spans="1:8" x14ac:dyDescent="0.25">
      <c r="A60" s="24" t="s">
        <v>1573</v>
      </c>
      <c r="B60" t="s">
        <v>1556</v>
      </c>
      <c r="C60" t="s">
        <v>1562</v>
      </c>
      <c r="D60" t="s">
        <v>1553</v>
      </c>
      <c r="E60" t="s">
        <v>1549</v>
      </c>
      <c r="F60" t="s">
        <v>1568</v>
      </c>
      <c r="G60" t="s">
        <v>1560</v>
      </c>
      <c r="H60" t="s">
        <v>1548</v>
      </c>
    </row>
    <row r="61" spans="1:8" x14ac:dyDescent="0.25">
      <c r="A61" s="20" t="s">
        <v>1566</v>
      </c>
      <c r="B61">
        <v>2715408</v>
      </c>
      <c r="C61">
        <v>3119763</v>
      </c>
      <c r="D61">
        <v>1716079</v>
      </c>
      <c r="E61">
        <v>3101274</v>
      </c>
      <c r="F61">
        <v>2414126</v>
      </c>
      <c r="G61">
        <v>3192104</v>
      </c>
      <c r="H61">
        <v>16258754</v>
      </c>
    </row>
    <row r="62" spans="1:8" x14ac:dyDescent="0.25">
      <c r="A62" s="20" t="s">
        <v>1564</v>
      </c>
      <c r="B62">
        <v>3131333</v>
      </c>
      <c r="C62">
        <v>2578347</v>
      </c>
      <c r="D62">
        <v>2651586</v>
      </c>
      <c r="E62">
        <v>2413153</v>
      </c>
      <c r="F62">
        <v>2760590</v>
      </c>
      <c r="G62">
        <v>2490274</v>
      </c>
      <c r="H62">
        <v>16025283</v>
      </c>
    </row>
    <row r="63" spans="1:8" x14ac:dyDescent="0.25">
      <c r="A63" s="20" t="s">
        <v>1555</v>
      </c>
      <c r="B63">
        <v>2157480</v>
      </c>
      <c r="C63">
        <v>3198770</v>
      </c>
      <c r="D63">
        <v>3850567</v>
      </c>
      <c r="E63">
        <v>2775419</v>
      </c>
      <c r="F63">
        <v>2909642</v>
      </c>
      <c r="G63">
        <v>3754952</v>
      </c>
      <c r="H63">
        <v>18646830</v>
      </c>
    </row>
    <row r="64" spans="1:8" x14ac:dyDescent="0.25">
      <c r="A64" s="20" t="s">
        <v>1552</v>
      </c>
      <c r="B64">
        <v>2025897</v>
      </c>
      <c r="C64">
        <v>3363076</v>
      </c>
      <c r="D64">
        <v>3260830</v>
      </c>
      <c r="E64">
        <v>2902908</v>
      </c>
      <c r="F64">
        <v>3411736</v>
      </c>
      <c r="G64">
        <v>2950430</v>
      </c>
      <c r="H64">
        <v>17914877</v>
      </c>
    </row>
    <row r="65" spans="1:8" x14ac:dyDescent="0.25">
      <c r="A65" s="20" t="s">
        <v>1563</v>
      </c>
      <c r="B65">
        <v>2242152</v>
      </c>
      <c r="C65">
        <v>2486034</v>
      </c>
      <c r="D65">
        <v>2721193</v>
      </c>
      <c r="E65">
        <v>2815845</v>
      </c>
      <c r="F65">
        <v>2767894</v>
      </c>
      <c r="G65">
        <v>2793774</v>
      </c>
      <c r="H65">
        <v>15826892</v>
      </c>
    </row>
    <row r="66" spans="1:8" x14ac:dyDescent="0.25">
      <c r="A66" s="20" t="s">
        <v>1548</v>
      </c>
      <c r="B66">
        <v>12272270</v>
      </c>
      <c r="C66">
        <v>14745990</v>
      </c>
      <c r="D66">
        <v>14200255</v>
      </c>
      <c r="E66">
        <v>14008599</v>
      </c>
      <c r="F66">
        <v>14263988</v>
      </c>
      <c r="G66">
        <v>15181534</v>
      </c>
      <c r="H66">
        <v>84672636</v>
      </c>
    </row>
    <row r="69" spans="1:8" ht="36.75" customHeight="1" x14ac:dyDescent="0.25">
      <c r="A69" s="26" t="s">
        <v>1585</v>
      </c>
      <c r="B69" s="26"/>
      <c r="C69" s="26"/>
      <c r="D69" s="26"/>
      <c r="E69" s="26"/>
      <c r="F69" s="26"/>
    </row>
    <row r="71" spans="1:8" x14ac:dyDescent="0.25">
      <c r="A71" s="24" t="s">
        <v>1574</v>
      </c>
      <c r="B71" s="24" t="s">
        <v>1576</v>
      </c>
    </row>
    <row r="72" spans="1:8" x14ac:dyDescent="0.25">
      <c r="A72" s="24" t="s">
        <v>1573</v>
      </c>
      <c r="B72" t="s">
        <v>1566</v>
      </c>
      <c r="C72" t="s">
        <v>1564</v>
      </c>
      <c r="D72" t="s">
        <v>1555</v>
      </c>
      <c r="E72" t="s">
        <v>1552</v>
      </c>
      <c r="F72" t="s">
        <v>1563</v>
      </c>
      <c r="G72" t="s">
        <v>1548</v>
      </c>
    </row>
    <row r="73" spans="1:8" x14ac:dyDescent="0.25">
      <c r="A73" s="20" t="s">
        <v>1565</v>
      </c>
      <c r="B73">
        <v>2400458</v>
      </c>
      <c r="C73">
        <v>3184496</v>
      </c>
      <c r="D73">
        <v>3662827</v>
      </c>
      <c r="E73">
        <v>2922712</v>
      </c>
      <c r="F73">
        <v>2853562</v>
      </c>
      <c r="G73">
        <v>15024055</v>
      </c>
    </row>
    <row r="74" spans="1:8" x14ac:dyDescent="0.25">
      <c r="A74" s="20" t="s">
        <v>1550</v>
      </c>
      <c r="B74">
        <v>2998071</v>
      </c>
      <c r="C74">
        <v>2760367</v>
      </c>
      <c r="D74">
        <v>3890553</v>
      </c>
      <c r="E74">
        <v>5208910</v>
      </c>
      <c r="F74">
        <v>3881985</v>
      </c>
      <c r="G74">
        <v>18739886</v>
      </c>
    </row>
    <row r="75" spans="1:8" x14ac:dyDescent="0.25">
      <c r="A75" s="20" t="s">
        <v>1558</v>
      </c>
      <c r="B75">
        <v>4416972</v>
      </c>
      <c r="C75">
        <v>4192402</v>
      </c>
      <c r="D75">
        <v>3889368</v>
      </c>
      <c r="E75">
        <v>4164017</v>
      </c>
      <c r="F75">
        <v>1484877</v>
      </c>
      <c r="G75">
        <v>18147636</v>
      </c>
    </row>
    <row r="76" spans="1:8" x14ac:dyDescent="0.25">
      <c r="A76" s="20" t="s">
        <v>1554</v>
      </c>
      <c r="B76">
        <v>3597669</v>
      </c>
      <c r="C76">
        <v>2566207</v>
      </c>
      <c r="D76">
        <v>3755314</v>
      </c>
      <c r="E76">
        <v>2560316</v>
      </c>
      <c r="F76">
        <v>2968223</v>
      </c>
      <c r="G76">
        <v>15447729</v>
      </c>
    </row>
    <row r="77" spans="1:8" x14ac:dyDescent="0.25">
      <c r="A77" s="20" t="s">
        <v>1557</v>
      </c>
      <c r="B77">
        <v>2845584</v>
      </c>
      <c r="C77">
        <v>3321811</v>
      </c>
      <c r="D77">
        <v>3448768</v>
      </c>
      <c r="E77">
        <v>3058922</v>
      </c>
      <c r="F77">
        <v>4638245</v>
      </c>
      <c r="G77">
        <v>17313330</v>
      </c>
    </row>
    <row r="78" spans="1:8" x14ac:dyDescent="0.25">
      <c r="A78" s="20" t="s">
        <v>1548</v>
      </c>
      <c r="B78">
        <v>16258754</v>
      </c>
      <c r="C78">
        <v>16025283</v>
      </c>
      <c r="D78">
        <v>18646830</v>
      </c>
      <c r="E78">
        <v>17914877</v>
      </c>
      <c r="F78">
        <v>15826892</v>
      </c>
      <c r="G78">
        <v>84672636</v>
      </c>
    </row>
    <row r="81" spans="1:7" ht="34.5" customHeight="1" x14ac:dyDescent="0.25">
      <c r="A81" s="26" t="s">
        <v>1586</v>
      </c>
      <c r="B81" s="26"/>
      <c r="C81" s="26"/>
      <c r="D81" s="26"/>
      <c r="E81" s="26"/>
      <c r="F81" s="26"/>
      <c r="G81" s="26"/>
    </row>
    <row r="83" spans="1:7" x14ac:dyDescent="0.25">
      <c r="A83" s="24" t="s">
        <v>1584</v>
      </c>
      <c r="B83" s="24" t="s">
        <v>1576</v>
      </c>
    </row>
    <row r="84" spans="1:7" x14ac:dyDescent="0.25">
      <c r="A84" s="24" t="s">
        <v>1573</v>
      </c>
      <c r="B84" t="s">
        <v>1561</v>
      </c>
      <c r="C84" t="s">
        <v>1551</v>
      </c>
      <c r="D84" t="s">
        <v>1567</v>
      </c>
      <c r="E84" t="s">
        <v>1559</v>
      </c>
      <c r="F84" t="s">
        <v>1548</v>
      </c>
    </row>
    <row r="85" spans="1:7" x14ac:dyDescent="0.25">
      <c r="A85" s="20" t="s">
        <v>1566</v>
      </c>
      <c r="B85">
        <v>15311.871794871795</v>
      </c>
      <c r="C85">
        <v>14215.218181818182</v>
      </c>
      <c r="D85">
        <v>16338.232142857143</v>
      </c>
      <c r="E85">
        <v>15803.070175438597</v>
      </c>
      <c r="F85">
        <v>15433.410628019325</v>
      </c>
    </row>
    <row r="86" spans="1:7" x14ac:dyDescent="0.25">
      <c r="A86" s="20" t="s">
        <v>1564</v>
      </c>
      <c r="B86">
        <v>15127.833333333334</v>
      </c>
      <c r="C86">
        <v>13295.306122448979</v>
      </c>
      <c r="D86">
        <v>16741.280701754386</v>
      </c>
      <c r="E86">
        <v>14084.914285714285</v>
      </c>
      <c r="F86">
        <v>14951.784615384615</v>
      </c>
    </row>
    <row r="87" spans="1:7" x14ac:dyDescent="0.25">
      <c r="A87" s="20" t="s">
        <v>1555</v>
      </c>
      <c r="B87">
        <v>14669.314814814816</v>
      </c>
      <c r="C87">
        <v>16159.35294117647</v>
      </c>
      <c r="D87">
        <v>17191.48076923077</v>
      </c>
      <c r="E87">
        <v>15372.436363636363</v>
      </c>
      <c r="F87">
        <v>15828.825471698114</v>
      </c>
    </row>
    <row r="88" spans="1:7" x14ac:dyDescent="0.25">
      <c r="A88" s="20" t="s">
        <v>1552</v>
      </c>
      <c r="B88">
        <v>16319.039215686274</v>
      </c>
      <c r="C88">
        <v>16131.927272727273</v>
      </c>
      <c r="D88">
        <v>15236.1</v>
      </c>
      <c r="E88">
        <v>16131.871794871795</v>
      </c>
      <c r="F88">
        <v>15951.153846153846</v>
      </c>
    </row>
    <row r="89" spans="1:7" x14ac:dyDescent="0.25">
      <c r="A89" s="20" t="s">
        <v>1563</v>
      </c>
      <c r="B89">
        <v>15217.929824561403</v>
      </c>
      <c r="C89">
        <v>14512.391304347826</v>
      </c>
      <c r="D89">
        <v>15049.088888888889</v>
      </c>
      <c r="E89">
        <v>15571.906976744185</v>
      </c>
      <c r="F89">
        <v>15087.921465968586</v>
      </c>
    </row>
    <row r="90" spans="1:7" x14ac:dyDescent="0.25">
      <c r="A90" s="20" t="s">
        <v>1548</v>
      </c>
      <c r="B90">
        <v>15317.26274509804</v>
      </c>
      <c r="C90">
        <v>14891.640625</v>
      </c>
      <c r="D90">
        <v>16162.173076923076</v>
      </c>
      <c r="E90">
        <v>15449.633187772926</v>
      </c>
      <c r="F90">
        <v>15458.293</v>
      </c>
    </row>
  </sheetData>
  <mergeCells count="9">
    <mergeCell ref="A3:F3"/>
    <mergeCell ref="A24:F24"/>
    <mergeCell ref="A36:F36"/>
    <mergeCell ref="A1:F1"/>
    <mergeCell ref="A48:F48"/>
    <mergeCell ref="A57:F57"/>
    <mergeCell ref="A69:F69"/>
    <mergeCell ref="A81:G81"/>
    <mergeCell ref="A14:F14"/>
  </mergeCells>
  <pageMargins left="0.7" right="0.7" top="0.75" bottom="0.75" header="0.3" footer="0.3"/>
  <pageSetup orientation="portrait" r:id="rId9"/>
  <drawing r:id="rId1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45BC0-AC4C-498A-8047-E136E0CDE869}">
  <dimension ref="A1:M13"/>
  <sheetViews>
    <sheetView zoomScaleNormal="100" workbookViewId="0">
      <selection activeCell="F8" sqref="F8"/>
    </sheetView>
  </sheetViews>
  <sheetFormatPr defaultRowHeight="15" x14ac:dyDescent="0.25"/>
  <cols>
    <col min="1" max="1" width="12" customWidth="1"/>
    <col min="2" max="2" width="15.85546875" customWidth="1"/>
    <col min="3" max="3" width="11.5703125" customWidth="1"/>
    <col min="4" max="4" width="11.85546875" customWidth="1"/>
    <col min="5" max="5" width="13.85546875" customWidth="1"/>
    <col min="6" max="6" width="12.28515625" customWidth="1"/>
    <col min="7" max="7" width="10.7109375" customWidth="1"/>
    <col min="8" max="8" width="12.28515625" customWidth="1"/>
    <col min="9" max="9" width="10.42578125" customWidth="1"/>
    <col min="10" max="10" width="14.5703125" customWidth="1"/>
    <col min="11" max="11" width="18.140625" customWidth="1"/>
    <col min="12" max="12" width="9.7109375" customWidth="1"/>
    <col min="13" max="13" width="13.85546875" customWidth="1"/>
  </cols>
  <sheetData>
    <row r="1" spans="1:13" ht="25.5" customHeight="1" x14ac:dyDescent="0.25">
      <c r="A1" s="58" t="s">
        <v>1633</v>
      </c>
      <c r="B1" s="58"/>
      <c r="C1" s="58"/>
      <c r="D1" s="58"/>
      <c r="E1" s="58"/>
      <c r="F1" s="58"/>
      <c r="G1" s="58"/>
      <c r="H1" s="58"/>
      <c r="I1" s="58"/>
      <c r="J1" s="58"/>
      <c r="K1" s="58"/>
      <c r="L1" s="58"/>
      <c r="M1" s="58"/>
    </row>
    <row r="2" spans="1:13" ht="46.5" customHeight="1" x14ac:dyDescent="0.25">
      <c r="A2" s="55" t="s">
        <v>0</v>
      </c>
      <c r="B2" s="57" t="s">
        <v>1</v>
      </c>
      <c r="C2" s="55" t="s">
        <v>2</v>
      </c>
      <c r="D2" s="55" t="s">
        <v>3</v>
      </c>
      <c r="E2" s="55" t="s">
        <v>1632</v>
      </c>
      <c r="F2" s="55" t="s">
        <v>1631</v>
      </c>
      <c r="G2" s="55" t="s">
        <v>1630</v>
      </c>
      <c r="H2" s="55" t="s">
        <v>1629</v>
      </c>
      <c r="I2" s="56" t="s">
        <v>1628</v>
      </c>
      <c r="J2" s="55" t="s">
        <v>1627</v>
      </c>
      <c r="K2" s="55" t="s">
        <v>1626</v>
      </c>
      <c r="L2" s="55" t="s">
        <v>1625</v>
      </c>
      <c r="M2" s="55" t="s">
        <v>1624</v>
      </c>
    </row>
    <row r="3" spans="1:13" ht="19.899999999999999" customHeight="1" x14ac:dyDescent="0.25">
      <c r="A3" s="51" t="s">
        <v>1623</v>
      </c>
      <c r="B3" s="51" t="s">
        <v>1622</v>
      </c>
      <c r="C3" s="51" t="s">
        <v>561</v>
      </c>
      <c r="D3" s="51" t="s">
        <v>569</v>
      </c>
      <c r="E3" s="51" t="s">
        <v>1610</v>
      </c>
      <c r="F3" s="51" t="s">
        <v>1595</v>
      </c>
      <c r="G3" s="51">
        <v>7</v>
      </c>
      <c r="H3" s="50">
        <v>92000</v>
      </c>
      <c r="I3" s="50">
        <v>180000</v>
      </c>
      <c r="J3" s="50">
        <v>175000</v>
      </c>
      <c r="K3" s="49">
        <f>DASHBOARD_TABLE[[#This Row],[Achieved]]/DASHBOARD_TABLE[[#This Row],[Target ]]</f>
        <v>0.97222222222222221</v>
      </c>
      <c r="L3" s="54">
        <f>_xlfn.RANK.EQ(DASHBOARD_TABLE[[#This Row],[Achievement]], DASHBOARD_TABLE[Achievement])</f>
        <v>6</v>
      </c>
      <c r="M3" s="53" t="str" cm="1">
        <f t="array" ref="M3">_xlfn.IFS(DASHBOARD_TABLE[[#This Row],[Experience (Years)]]&lt;=3, "Junior", DASHBOARD_TABLE[[#This Row],[Experience (Years)]]&lt;=7, "Mid-Level", DASHBOARD_TABLE[[#This Row],[Experience (Years)]]&gt;7, "Senior")</f>
        <v>Mid-Level</v>
      </c>
    </row>
    <row r="4" spans="1:13" ht="19.899999999999999" customHeight="1" x14ac:dyDescent="0.25">
      <c r="A4" s="51" t="s">
        <v>1621</v>
      </c>
      <c r="B4" s="51" t="s">
        <v>1620</v>
      </c>
      <c r="C4" s="51" t="s">
        <v>560</v>
      </c>
      <c r="D4" s="51" t="s">
        <v>563</v>
      </c>
      <c r="E4" s="51" t="s">
        <v>1607</v>
      </c>
      <c r="F4" s="51" t="s">
        <v>1599</v>
      </c>
      <c r="G4" s="51">
        <v>3</v>
      </c>
      <c r="H4" s="50">
        <v>62000</v>
      </c>
      <c r="I4" s="50">
        <v>100000</v>
      </c>
      <c r="J4" s="50">
        <v>110000</v>
      </c>
      <c r="K4" s="49">
        <f>DASHBOARD_TABLE[[#This Row],[Achieved]]/DASHBOARD_TABLE[[#This Row],[Target ]]</f>
        <v>1.1000000000000001</v>
      </c>
      <c r="L4" s="52">
        <f>_xlfn.RANK.EQ(DASHBOARD_TABLE[[#This Row],[Achievement]], DASHBOARD_TABLE[Achievement])</f>
        <v>1</v>
      </c>
      <c r="M4" s="47" t="str" cm="1">
        <f t="array" ref="M4">_xlfn.IFS(DASHBOARD_TABLE[[#This Row],[Experience (Years)]]&lt;=3, "Junior", DASHBOARD_TABLE[[#This Row],[Experience (Years)]]&lt;=7, "Mid-Level", DASHBOARD_TABLE[[#This Row],[Experience (Years)]]&gt;7, "Senior")</f>
        <v>Junior</v>
      </c>
    </row>
    <row r="5" spans="1:13" ht="19.899999999999999" customHeight="1" x14ac:dyDescent="0.25">
      <c r="A5" s="51" t="s">
        <v>1619</v>
      </c>
      <c r="B5" s="51" t="s">
        <v>1618</v>
      </c>
      <c r="C5" s="51" t="s">
        <v>561</v>
      </c>
      <c r="D5" s="51" t="s">
        <v>566</v>
      </c>
      <c r="E5" s="51" t="s">
        <v>1604</v>
      </c>
      <c r="F5" s="51" t="s">
        <v>1603</v>
      </c>
      <c r="G5" s="51">
        <v>10</v>
      </c>
      <c r="H5" s="50">
        <v>78000</v>
      </c>
      <c r="I5" s="50">
        <v>140000</v>
      </c>
      <c r="J5" s="50">
        <v>120000</v>
      </c>
      <c r="K5" s="49">
        <f>DASHBOARD_TABLE[[#This Row],[Achieved]]/DASHBOARD_TABLE[[#This Row],[Target ]]</f>
        <v>0.8571428571428571</v>
      </c>
      <c r="L5" s="52">
        <f>_xlfn.RANK.EQ(DASHBOARD_TABLE[[#This Row],[Achievement]], DASHBOARD_TABLE[Achievement])</f>
        <v>10</v>
      </c>
      <c r="M5" s="47" t="str" cm="1">
        <f t="array" ref="M5">_xlfn.IFS(DASHBOARD_TABLE[[#This Row],[Experience (Years)]]&lt;=3, "Junior", DASHBOARD_TABLE[[#This Row],[Experience (Years)]]&lt;=7, "Mid-Level", DASHBOARD_TABLE[[#This Row],[Experience (Years)]]&gt;7, "Senior")</f>
        <v>Senior</v>
      </c>
    </row>
    <row r="6" spans="1:13" ht="19.899999999999999" customHeight="1" x14ac:dyDescent="0.25">
      <c r="A6" s="51" t="s">
        <v>1617</v>
      </c>
      <c r="B6" s="51" t="s">
        <v>1616</v>
      </c>
      <c r="C6" s="51" t="s">
        <v>560</v>
      </c>
      <c r="D6" s="51" t="s">
        <v>564</v>
      </c>
      <c r="E6" s="51" t="s">
        <v>1600</v>
      </c>
      <c r="F6" s="51" t="s">
        <v>1613</v>
      </c>
      <c r="G6" s="51">
        <v>5</v>
      </c>
      <c r="H6" s="50">
        <v>105000</v>
      </c>
      <c r="I6" s="50">
        <v>150000</v>
      </c>
      <c r="J6" s="50">
        <v>145000</v>
      </c>
      <c r="K6" s="49">
        <f>DASHBOARD_TABLE[[#This Row],[Achieved]]/DASHBOARD_TABLE[[#This Row],[Target ]]</f>
        <v>0.96666666666666667</v>
      </c>
      <c r="L6" s="52">
        <f>_xlfn.RANK.EQ(DASHBOARD_TABLE[[#This Row],[Achievement]], DASHBOARD_TABLE[Achievement])</f>
        <v>7</v>
      </c>
      <c r="M6" s="47" t="str" cm="1">
        <f t="array" ref="M6">_xlfn.IFS(DASHBOARD_TABLE[[#This Row],[Experience (Years)]]&lt;=3, "Junior", DASHBOARD_TABLE[[#This Row],[Experience (Years)]]&lt;=7, "Mid-Level", DASHBOARD_TABLE[[#This Row],[Experience (Years)]]&gt;7, "Senior")</f>
        <v>Mid-Level</v>
      </c>
    </row>
    <row r="7" spans="1:13" ht="19.899999999999999" customHeight="1" x14ac:dyDescent="0.25">
      <c r="A7" s="51" t="s">
        <v>1615</v>
      </c>
      <c r="B7" s="51" t="s">
        <v>1614</v>
      </c>
      <c r="C7" s="51" t="s">
        <v>561</v>
      </c>
      <c r="D7" s="51" t="s">
        <v>565</v>
      </c>
      <c r="E7" s="51" t="s">
        <v>1596</v>
      </c>
      <c r="F7" s="51" t="s">
        <v>1613</v>
      </c>
      <c r="G7" s="51">
        <v>8</v>
      </c>
      <c r="H7" s="50">
        <v>112000</v>
      </c>
      <c r="I7" s="50">
        <v>200000</v>
      </c>
      <c r="J7" s="50">
        <v>210000</v>
      </c>
      <c r="K7" s="49">
        <f>DASHBOARD_TABLE[[#This Row],[Achieved]]/DASHBOARD_TABLE[[#This Row],[Target ]]</f>
        <v>1.05</v>
      </c>
      <c r="L7" s="52">
        <f>_xlfn.RANK.EQ(DASHBOARD_TABLE[[#This Row],[Achievement]], DASHBOARD_TABLE[Achievement])</f>
        <v>2</v>
      </c>
      <c r="M7" s="47" t="str" cm="1">
        <f t="array" ref="M7">_xlfn.IFS(DASHBOARD_TABLE[[#This Row],[Experience (Years)]]&lt;=3, "Junior", DASHBOARD_TABLE[[#This Row],[Experience (Years)]]&lt;=7, "Mid-Level", DASHBOARD_TABLE[[#This Row],[Experience (Years)]]&gt;7, "Senior")</f>
        <v>Senior</v>
      </c>
    </row>
    <row r="8" spans="1:13" ht="19.899999999999999" customHeight="1" x14ac:dyDescent="0.25">
      <c r="A8" s="51" t="s">
        <v>1612</v>
      </c>
      <c r="B8" s="51" t="s">
        <v>1611</v>
      </c>
      <c r="C8" s="51" t="s">
        <v>560</v>
      </c>
      <c r="D8" s="51" t="s">
        <v>562</v>
      </c>
      <c r="E8" s="51" t="s">
        <v>1610</v>
      </c>
      <c r="F8" s="51" t="s">
        <v>1599</v>
      </c>
      <c r="G8" s="51">
        <v>4</v>
      </c>
      <c r="H8" s="50">
        <v>67000</v>
      </c>
      <c r="I8" s="50">
        <v>100000</v>
      </c>
      <c r="J8" s="50">
        <v>90000</v>
      </c>
      <c r="K8" s="49">
        <f>DASHBOARD_TABLE[[#This Row],[Achieved]]/DASHBOARD_TABLE[[#This Row],[Target ]]</f>
        <v>0.9</v>
      </c>
      <c r="L8" s="52">
        <f>_xlfn.RANK.EQ(DASHBOARD_TABLE[[#This Row],[Achievement]], DASHBOARD_TABLE[Achievement])</f>
        <v>9</v>
      </c>
      <c r="M8" s="47" t="str" cm="1">
        <f t="array" ref="M8">_xlfn.IFS(DASHBOARD_TABLE[[#This Row],[Experience (Years)]]&lt;=3, "Junior", DASHBOARD_TABLE[[#This Row],[Experience (Years)]]&lt;=7, "Mid-Level", DASHBOARD_TABLE[[#This Row],[Experience (Years)]]&gt;7, "Senior")</f>
        <v>Mid-Level</v>
      </c>
    </row>
    <row r="9" spans="1:13" ht="19.899999999999999" customHeight="1" x14ac:dyDescent="0.25">
      <c r="A9" s="51" t="s">
        <v>1609</v>
      </c>
      <c r="B9" s="51" t="s">
        <v>1608</v>
      </c>
      <c r="C9" s="51" t="s">
        <v>561</v>
      </c>
      <c r="D9" s="51" t="s">
        <v>569</v>
      </c>
      <c r="E9" s="51" t="s">
        <v>1607</v>
      </c>
      <c r="F9" s="51" t="s">
        <v>1595</v>
      </c>
      <c r="G9" s="51">
        <v>9</v>
      </c>
      <c r="H9" s="50">
        <v>88000</v>
      </c>
      <c r="I9" s="50">
        <v>160000</v>
      </c>
      <c r="J9" s="50">
        <v>158000</v>
      </c>
      <c r="K9" s="49">
        <f>DASHBOARD_TABLE[[#This Row],[Achieved]]/DASHBOARD_TABLE[[#This Row],[Target ]]</f>
        <v>0.98750000000000004</v>
      </c>
      <c r="L9" s="52">
        <f>_xlfn.RANK.EQ(DASHBOARD_TABLE[[#This Row],[Achievement]], DASHBOARD_TABLE[Achievement])</f>
        <v>4</v>
      </c>
      <c r="M9" s="47" t="str" cm="1">
        <f t="array" ref="M9">_xlfn.IFS(DASHBOARD_TABLE[[#This Row],[Experience (Years)]]&lt;=3, "Junior", DASHBOARD_TABLE[[#This Row],[Experience (Years)]]&lt;=7, "Mid-Level", DASHBOARD_TABLE[[#This Row],[Experience (Years)]]&gt;7, "Senior")</f>
        <v>Senior</v>
      </c>
    </row>
    <row r="10" spans="1:13" ht="19.899999999999999" customHeight="1" x14ac:dyDescent="0.25">
      <c r="A10" s="51" t="s">
        <v>1606</v>
      </c>
      <c r="B10" s="51" t="s">
        <v>1605</v>
      </c>
      <c r="C10" s="51" t="s">
        <v>560</v>
      </c>
      <c r="D10" s="51" t="s">
        <v>566</v>
      </c>
      <c r="E10" s="51" t="s">
        <v>1604</v>
      </c>
      <c r="F10" s="51" t="s">
        <v>1603</v>
      </c>
      <c r="G10" s="51">
        <v>6</v>
      </c>
      <c r="H10" s="50">
        <v>74000</v>
      </c>
      <c r="I10" s="50">
        <v>120000</v>
      </c>
      <c r="J10" s="50">
        <v>120000</v>
      </c>
      <c r="K10" s="49">
        <f>DASHBOARD_TABLE[[#This Row],[Achieved]]/DASHBOARD_TABLE[[#This Row],[Target ]]</f>
        <v>1</v>
      </c>
      <c r="L10" s="52">
        <f>_xlfn.RANK.EQ(DASHBOARD_TABLE[[#This Row],[Achievement]], DASHBOARD_TABLE[Achievement])</f>
        <v>3</v>
      </c>
      <c r="M10" s="47" t="str" cm="1">
        <f t="array" ref="M10">_xlfn.IFS(DASHBOARD_TABLE[[#This Row],[Experience (Years)]]&lt;=3, "Junior", DASHBOARD_TABLE[[#This Row],[Experience (Years)]]&lt;=7, "Mid-Level", DASHBOARD_TABLE[[#This Row],[Experience (Years)]]&gt;7, "Senior")</f>
        <v>Mid-Level</v>
      </c>
    </row>
    <row r="11" spans="1:13" ht="19.899999999999999" customHeight="1" x14ac:dyDescent="0.25">
      <c r="A11" s="51" t="s">
        <v>1602</v>
      </c>
      <c r="B11" s="51" t="s">
        <v>1601</v>
      </c>
      <c r="C11" s="51" t="s">
        <v>560</v>
      </c>
      <c r="D11" s="51" t="s">
        <v>563</v>
      </c>
      <c r="E11" s="51" t="s">
        <v>1600</v>
      </c>
      <c r="F11" s="51" t="s">
        <v>1599</v>
      </c>
      <c r="G11" s="51">
        <v>2</v>
      </c>
      <c r="H11" s="50">
        <v>59000</v>
      </c>
      <c r="I11" s="50">
        <v>90000</v>
      </c>
      <c r="J11" s="50">
        <v>85000</v>
      </c>
      <c r="K11" s="49">
        <f>DASHBOARD_TABLE[[#This Row],[Achieved]]/DASHBOARD_TABLE[[#This Row],[Target ]]</f>
        <v>0.94444444444444442</v>
      </c>
      <c r="L11" s="52">
        <f>_xlfn.RANK.EQ(DASHBOARD_TABLE[[#This Row],[Achievement]], DASHBOARD_TABLE[Achievement])</f>
        <v>8</v>
      </c>
      <c r="M11" s="47" t="str" cm="1">
        <f t="array" ref="M11">_xlfn.IFS(DASHBOARD_TABLE[[#This Row],[Experience (Years)]]&lt;=3, "Junior", DASHBOARD_TABLE[[#This Row],[Experience (Years)]]&lt;=7, "Mid-Level", DASHBOARD_TABLE[[#This Row],[Experience (Years)]]&gt;7, "Senior")</f>
        <v>Junior</v>
      </c>
    </row>
    <row r="12" spans="1:13" ht="19.899999999999999" customHeight="1" x14ac:dyDescent="0.25">
      <c r="A12" s="51" t="s">
        <v>1598</v>
      </c>
      <c r="B12" s="51" t="s">
        <v>1597</v>
      </c>
      <c r="C12" s="51" t="s">
        <v>560</v>
      </c>
      <c r="D12" s="51" t="s">
        <v>565</v>
      </c>
      <c r="E12" s="51" t="s">
        <v>1596</v>
      </c>
      <c r="F12" s="51" t="s">
        <v>1595</v>
      </c>
      <c r="G12" s="51">
        <v>11</v>
      </c>
      <c r="H12" s="50">
        <v>99000</v>
      </c>
      <c r="I12" s="50">
        <v>190000</v>
      </c>
      <c r="J12" s="50">
        <v>185000</v>
      </c>
      <c r="K12" s="49">
        <f>DASHBOARD_TABLE[[#This Row],[Achieved]]/DASHBOARD_TABLE[[#This Row],[Target ]]</f>
        <v>0.97368421052631582</v>
      </c>
      <c r="L12" s="48">
        <f>_xlfn.RANK.EQ(DASHBOARD_TABLE[[#This Row],[Achievement]], DASHBOARD_TABLE[Achievement])</f>
        <v>5</v>
      </c>
      <c r="M12" s="47" t="str" cm="1">
        <f t="array" ref="M12">_xlfn.IFS(DASHBOARD_TABLE[[#This Row],[Experience (Years)]]&lt;=3, "Junior", DASHBOARD_TABLE[[#This Row],[Experience (Years)]]&lt;=7, "Mid-Level", DASHBOARD_TABLE[[#This Row],[Experience (Years)]]&gt;7, "Senior")</f>
        <v>Senior</v>
      </c>
    </row>
    <row r="13" spans="1:13" x14ac:dyDescent="0.25">
      <c r="A13" s="44" t="s">
        <v>1594</v>
      </c>
      <c r="B13" s="44"/>
      <c r="C13" s="44"/>
      <c r="D13" s="44"/>
      <c r="E13" s="44"/>
      <c r="F13" s="44"/>
      <c r="G13" s="44"/>
      <c r="H13" s="46">
        <f>SUBTOTAL(109,DASHBOARD_TABLE[[Annual Salary ]])</f>
        <v>836000</v>
      </c>
      <c r="I13" s="44"/>
      <c r="J13" s="44"/>
      <c r="K13" s="45">
        <f>SUBTOTAL(109,DASHBOARD_TABLE[Achievement])</f>
        <v>9.7516604010025052</v>
      </c>
      <c r="L13" s="44"/>
      <c r="M13" s="44"/>
    </row>
  </sheetData>
  <mergeCells count="1">
    <mergeCell ref="A1:M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9D505-05F0-4D77-8EC7-35A0C27B1BCE}">
  <dimension ref="C4:J19"/>
  <sheetViews>
    <sheetView workbookViewId="0">
      <selection activeCell="C19" sqref="C19:J19"/>
    </sheetView>
  </sheetViews>
  <sheetFormatPr defaultRowHeight="15" x14ac:dyDescent="0.25"/>
  <sheetData>
    <row r="4" spans="3:10" ht="36" x14ac:dyDescent="0.55000000000000004">
      <c r="C4" s="42" t="s">
        <v>1587</v>
      </c>
      <c r="D4" s="42"/>
      <c r="E4" s="42"/>
      <c r="F4" s="42"/>
      <c r="G4" s="42"/>
      <c r="H4" s="42"/>
      <c r="I4" s="42"/>
      <c r="J4" s="42"/>
    </row>
    <row r="7" spans="3:10" x14ac:dyDescent="0.25">
      <c r="C7" s="43" t="s">
        <v>1588</v>
      </c>
      <c r="D7" s="43"/>
      <c r="E7" s="43"/>
      <c r="F7" s="43"/>
      <c r="G7" s="43"/>
      <c r="H7" s="43"/>
    </row>
    <row r="9" spans="3:10" x14ac:dyDescent="0.25">
      <c r="C9" s="43" t="s">
        <v>1589</v>
      </c>
      <c r="D9" s="43"/>
      <c r="E9" s="43"/>
      <c r="F9" s="43"/>
      <c r="G9" s="43"/>
      <c r="H9" s="43"/>
      <c r="I9" s="43"/>
      <c r="J9" s="43"/>
    </row>
    <row r="11" spans="3:10" x14ac:dyDescent="0.25">
      <c r="C11" s="43" t="s">
        <v>1590</v>
      </c>
      <c r="D11" s="43"/>
      <c r="E11" s="43"/>
      <c r="F11" s="43"/>
    </row>
    <row r="13" spans="3:10" x14ac:dyDescent="0.25">
      <c r="C13" s="43" t="s">
        <v>1591</v>
      </c>
      <c r="D13" s="43"/>
      <c r="E13" s="43"/>
      <c r="F13" s="43"/>
      <c r="G13" s="43"/>
    </row>
    <row r="14" spans="3:10" x14ac:dyDescent="0.25">
      <c r="C14" s="80"/>
      <c r="D14" s="80"/>
      <c r="E14" s="80"/>
      <c r="F14" s="80"/>
      <c r="G14" s="80"/>
    </row>
    <row r="15" spans="3:10" x14ac:dyDescent="0.25">
      <c r="C15" s="43" t="s">
        <v>1647</v>
      </c>
      <c r="D15" s="43"/>
      <c r="E15" s="43"/>
      <c r="F15" s="43"/>
      <c r="G15" s="43"/>
    </row>
    <row r="17" spans="3:10" x14ac:dyDescent="0.25">
      <c r="C17" s="43" t="s">
        <v>1592</v>
      </c>
      <c r="D17" s="43"/>
      <c r="E17" s="43"/>
      <c r="F17" s="43"/>
      <c r="G17" s="43"/>
    </row>
    <row r="19" spans="3:10" x14ac:dyDescent="0.25">
      <c r="C19" s="43" t="s">
        <v>1593</v>
      </c>
      <c r="D19" s="43"/>
      <c r="E19" s="43"/>
      <c r="F19" s="43"/>
      <c r="G19" s="43"/>
      <c r="H19" s="43"/>
      <c r="I19" s="43"/>
      <c r="J19" s="43"/>
    </row>
  </sheetData>
  <mergeCells count="8">
    <mergeCell ref="C19:J19"/>
    <mergeCell ref="C15:G15"/>
    <mergeCell ref="C4:J4"/>
    <mergeCell ref="C7:H7"/>
    <mergeCell ref="C9:J9"/>
    <mergeCell ref="C11:F11"/>
    <mergeCell ref="C13:G13"/>
    <mergeCell ref="C17:G1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3A0B5-8C5C-4C8F-89AB-247E4DE00CA1}">
  <dimension ref="A3:W65"/>
  <sheetViews>
    <sheetView workbookViewId="0">
      <selection activeCell="C64" sqref="C64"/>
    </sheetView>
  </sheetViews>
  <sheetFormatPr defaultRowHeight="15" x14ac:dyDescent="0.25"/>
  <cols>
    <col min="1" max="1" width="20.28515625" bestFit="1" customWidth="1"/>
    <col min="2" max="2" width="16.28515625" bestFit="1" customWidth="1"/>
    <col min="3" max="5" width="11.28515625" bestFit="1" customWidth="1"/>
    <col min="12" max="12" width="16.5703125" customWidth="1"/>
  </cols>
  <sheetData>
    <row r="3" spans="1:6" x14ac:dyDescent="0.25">
      <c r="A3" s="43" t="s">
        <v>1588</v>
      </c>
      <c r="B3" s="43"/>
      <c r="C3" s="43"/>
      <c r="D3" s="43"/>
      <c r="E3" s="43"/>
      <c r="F3" s="43"/>
    </row>
    <row r="4" spans="1:6" x14ac:dyDescent="0.25">
      <c r="A4" s="61"/>
      <c r="B4" s="61"/>
      <c r="C4" s="61"/>
      <c r="D4" s="61"/>
      <c r="E4" s="61"/>
      <c r="F4" s="61"/>
    </row>
    <row r="5" spans="1:6" x14ac:dyDescent="0.25">
      <c r="A5" s="24" t="s">
        <v>1573</v>
      </c>
      <c r="B5" t="s">
        <v>1635</v>
      </c>
    </row>
    <row r="6" spans="1:6" x14ac:dyDescent="0.25">
      <c r="A6" s="20" t="s">
        <v>569</v>
      </c>
      <c r="B6" s="59">
        <v>92000</v>
      </c>
    </row>
    <row r="7" spans="1:6" x14ac:dyDescent="0.25">
      <c r="A7" s="20" t="s">
        <v>1548</v>
      </c>
      <c r="B7" s="59">
        <v>92000</v>
      </c>
    </row>
    <row r="14" spans="1:6" x14ac:dyDescent="0.25">
      <c r="A14" s="43" t="s">
        <v>1589</v>
      </c>
      <c r="B14" s="43"/>
      <c r="C14" s="43"/>
      <c r="D14" s="43"/>
      <c r="E14" s="43"/>
    </row>
    <row r="16" spans="1:6" x14ac:dyDescent="0.25">
      <c r="A16" s="24" t="s">
        <v>1573</v>
      </c>
      <c r="B16" t="s">
        <v>1637</v>
      </c>
      <c r="C16" t="s">
        <v>1638</v>
      </c>
    </row>
    <row r="17" spans="1:23" x14ac:dyDescent="0.25">
      <c r="A17" s="20" t="s">
        <v>569</v>
      </c>
      <c r="B17" s="59">
        <v>180000</v>
      </c>
      <c r="C17" s="59">
        <v>175000</v>
      </c>
    </row>
    <row r="18" spans="1:23" x14ac:dyDescent="0.25">
      <c r="A18" s="20" t="s">
        <v>1548</v>
      </c>
      <c r="B18" s="59">
        <v>180000</v>
      </c>
      <c r="C18" s="59">
        <v>175000</v>
      </c>
    </row>
    <row r="26" spans="1:23" x14ac:dyDescent="0.25">
      <c r="A26" s="43" t="s">
        <v>1590</v>
      </c>
      <c r="B26" s="43"/>
      <c r="C26" s="43"/>
      <c r="D26" s="43"/>
    </row>
    <row r="27" spans="1:23" x14ac:dyDescent="0.25">
      <c r="K27" t="str" cm="1">
        <f t="array" ref="K27:W27">_xlfn.XLOOKUP(A29,DASHBOARD_TABLE[Emp ID],DASHBOARD_TABLE[])</f>
        <v>E101</v>
      </c>
      <c r="L27" t="str">
        <v>James Anderson</v>
      </c>
      <c r="M27" t="str">
        <v>Male</v>
      </c>
      <c r="N27" t="str">
        <v>Finance</v>
      </c>
      <c r="O27" t="str">
        <v>New York</v>
      </c>
      <c r="P27" t="str">
        <v>Analyst</v>
      </c>
      <c r="Q27">
        <v>7</v>
      </c>
      <c r="R27">
        <v>92000</v>
      </c>
      <c r="S27">
        <v>180000</v>
      </c>
      <c r="T27">
        <v>175000</v>
      </c>
      <c r="U27">
        <v>0.97222222222222221</v>
      </c>
      <c r="V27">
        <v>6</v>
      </c>
      <c r="W27" t="str">
        <v>Mid-Level</v>
      </c>
    </row>
    <row r="28" spans="1:23" x14ac:dyDescent="0.25">
      <c r="A28" s="24" t="s">
        <v>1573</v>
      </c>
    </row>
    <row r="29" spans="1:23" x14ac:dyDescent="0.25">
      <c r="A29" s="20" t="s">
        <v>1623</v>
      </c>
    </row>
    <row r="30" spans="1:23" x14ac:dyDescent="0.25">
      <c r="A30" s="20" t="s">
        <v>1548</v>
      </c>
    </row>
    <row r="33" spans="1:5" x14ac:dyDescent="0.25">
      <c r="A33" s="43" t="s">
        <v>1591</v>
      </c>
      <c r="B33" s="43"/>
      <c r="C33" s="43"/>
      <c r="D33" s="43"/>
      <c r="E33" s="43"/>
    </row>
    <row r="35" spans="1:5" x14ac:dyDescent="0.25">
      <c r="A35" s="24" t="s">
        <v>1573</v>
      </c>
      <c r="B35" t="s">
        <v>1636</v>
      </c>
    </row>
    <row r="36" spans="1:5" x14ac:dyDescent="0.25">
      <c r="A36" s="20" t="s">
        <v>1595</v>
      </c>
      <c r="B36" s="25">
        <v>1</v>
      </c>
    </row>
    <row r="37" spans="1:5" x14ac:dyDescent="0.25">
      <c r="A37" s="20" t="s">
        <v>1548</v>
      </c>
      <c r="B37" s="25">
        <v>1</v>
      </c>
    </row>
    <row r="43" spans="1:5" x14ac:dyDescent="0.25">
      <c r="A43" s="43" t="s">
        <v>1647</v>
      </c>
      <c r="B43" s="43"/>
      <c r="C43" s="43"/>
      <c r="D43" s="43"/>
      <c r="E43" s="43"/>
    </row>
    <row r="45" spans="1:5" x14ac:dyDescent="0.25">
      <c r="A45" s="24" t="s">
        <v>1573</v>
      </c>
      <c r="B45" t="s">
        <v>1648</v>
      </c>
    </row>
    <row r="46" spans="1:5" x14ac:dyDescent="0.25">
      <c r="A46" s="20" t="s">
        <v>561</v>
      </c>
      <c r="B46" s="81">
        <v>1</v>
      </c>
    </row>
    <row r="47" spans="1:5" x14ac:dyDescent="0.25">
      <c r="A47" s="20" t="s">
        <v>1548</v>
      </c>
      <c r="B47" s="25">
        <v>1</v>
      </c>
    </row>
    <row r="51" spans="1:8" x14ac:dyDescent="0.25">
      <c r="A51" s="43" t="s">
        <v>1592</v>
      </c>
      <c r="B51" s="43"/>
      <c r="C51" s="43"/>
      <c r="D51" s="43"/>
      <c r="E51" s="43"/>
    </row>
    <row r="53" spans="1:8" x14ac:dyDescent="0.25">
      <c r="A53" s="24" t="s">
        <v>1573</v>
      </c>
      <c r="B53" t="s">
        <v>1650</v>
      </c>
    </row>
    <row r="54" spans="1:8" x14ac:dyDescent="0.25">
      <c r="A54" s="20" t="s">
        <v>1649</v>
      </c>
      <c r="B54" s="25">
        <v>1</v>
      </c>
    </row>
    <row r="55" spans="1:8" x14ac:dyDescent="0.25">
      <c r="A55" s="20" t="s">
        <v>1548</v>
      </c>
      <c r="B55" s="25">
        <v>1</v>
      </c>
    </row>
    <row r="60" spans="1:8" x14ac:dyDescent="0.25">
      <c r="A60" s="43" t="s">
        <v>1593</v>
      </c>
      <c r="B60" s="43"/>
      <c r="C60" s="43"/>
      <c r="D60" s="43"/>
      <c r="E60" s="43"/>
      <c r="F60" s="43"/>
      <c r="G60" s="43"/>
      <c r="H60" s="43"/>
    </row>
    <row r="62" spans="1:8" x14ac:dyDescent="0.25">
      <c r="A62" s="24" t="s">
        <v>1634</v>
      </c>
      <c r="B62" s="24" t="s">
        <v>1576</v>
      </c>
    </row>
    <row r="63" spans="1:8" x14ac:dyDescent="0.25">
      <c r="A63" s="24" t="s">
        <v>1573</v>
      </c>
      <c r="B63" t="s">
        <v>561</v>
      </c>
      <c r="C63" t="s">
        <v>1548</v>
      </c>
    </row>
    <row r="64" spans="1:8" x14ac:dyDescent="0.25">
      <c r="A64" s="20" t="s">
        <v>1595</v>
      </c>
      <c r="B64" s="59">
        <v>92000</v>
      </c>
      <c r="C64" s="59">
        <v>92000</v>
      </c>
    </row>
    <row r="65" spans="1:3" x14ac:dyDescent="0.25">
      <c r="A65" s="20" t="s">
        <v>1548</v>
      </c>
      <c r="B65" s="59">
        <v>92000</v>
      </c>
      <c r="C65" s="59">
        <v>92000</v>
      </c>
    </row>
  </sheetData>
  <mergeCells count="7">
    <mergeCell ref="A51:E51"/>
    <mergeCell ref="A60:H60"/>
    <mergeCell ref="A3:F3"/>
    <mergeCell ref="A14:H14"/>
    <mergeCell ref="A26:D26"/>
    <mergeCell ref="A33:E33"/>
    <mergeCell ref="A43:E4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E0850-9EE2-4FBE-8E2C-36E4B52DF534}">
  <sheetPr>
    <pageSetUpPr autoPageBreaks="0"/>
  </sheetPr>
  <dimension ref="A1:B31"/>
  <sheetViews>
    <sheetView tabSelected="1" zoomScale="70" zoomScaleNormal="70" workbookViewId="0">
      <selection activeCell="E30" sqref="E30"/>
    </sheetView>
  </sheetViews>
  <sheetFormatPr defaultRowHeight="15" x14ac:dyDescent="0.25"/>
  <cols>
    <col min="1" max="1" width="21.28515625" style="60" customWidth="1"/>
    <col min="2" max="2" width="17.5703125" style="60" customWidth="1"/>
    <col min="3" max="3" width="16.140625" style="60" customWidth="1"/>
    <col min="4" max="12" width="9.140625" style="60"/>
    <col min="13" max="13" width="11.42578125" style="60" customWidth="1"/>
    <col min="14" max="14" width="9.140625" style="60"/>
    <col min="15" max="15" width="11.85546875" style="60" customWidth="1"/>
    <col min="16" max="16" width="10.28515625" style="60" customWidth="1"/>
    <col min="17" max="17" width="7.5703125" style="60" customWidth="1"/>
    <col min="18" max="18" width="7.85546875" style="60" customWidth="1"/>
    <col min="19" max="16384" width="9.140625" style="60"/>
  </cols>
  <sheetData>
    <row r="1" spans="1:2" ht="15" customHeight="1" x14ac:dyDescent="0.25">
      <c r="A1" s="66" t="str">
        <f>PIVOT_DASHBOARD!L27</f>
        <v>James Anderson</v>
      </c>
      <c r="B1" s="75"/>
    </row>
    <row r="2" spans="1:2" ht="15" customHeight="1" x14ac:dyDescent="0.25">
      <c r="A2" s="66"/>
      <c r="B2" s="75"/>
    </row>
    <row r="3" spans="1:2" ht="15" customHeight="1" x14ac:dyDescent="0.25">
      <c r="A3" s="66"/>
      <c r="B3" s="75"/>
    </row>
    <row r="4" spans="1:2" ht="15" customHeight="1" x14ac:dyDescent="0.25">
      <c r="A4" s="66"/>
      <c r="B4" s="75"/>
    </row>
    <row r="5" spans="1:2" ht="15" customHeight="1" x14ac:dyDescent="0.25">
      <c r="A5" s="66"/>
      <c r="B5" s="75"/>
    </row>
    <row r="6" spans="1:2" ht="15" customHeight="1" x14ac:dyDescent="0.25">
      <c r="A6" s="67"/>
      <c r="B6" s="76"/>
    </row>
    <row r="7" spans="1:2" x14ac:dyDescent="0.25">
      <c r="A7" s="68" t="s">
        <v>1646</v>
      </c>
      <c r="B7" s="62" t="str">
        <f>PIVOT_DASHBOARD!M27</f>
        <v>Male</v>
      </c>
    </row>
    <row r="8" spans="1:2" x14ac:dyDescent="0.25">
      <c r="A8" s="69"/>
      <c r="B8" s="63"/>
    </row>
    <row r="9" spans="1:2" x14ac:dyDescent="0.25">
      <c r="A9" s="70"/>
      <c r="B9" s="65"/>
    </row>
    <row r="10" spans="1:2" x14ac:dyDescent="0.25">
      <c r="A10" s="68" t="s">
        <v>1640</v>
      </c>
      <c r="B10" s="62" t="str">
        <f>PIVOT_DASHBOARD!N27</f>
        <v>Finance</v>
      </c>
    </row>
    <row r="11" spans="1:2" x14ac:dyDescent="0.25">
      <c r="A11" s="69"/>
      <c r="B11" s="63"/>
    </row>
    <row r="12" spans="1:2" x14ac:dyDescent="0.25">
      <c r="A12" s="69"/>
      <c r="B12" s="63"/>
    </row>
    <row r="13" spans="1:2" x14ac:dyDescent="0.25">
      <c r="A13" s="70"/>
      <c r="B13" s="65"/>
    </row>
    <row r="14" spans="1:2" x14ac:dyDescent="0.25">
      <c r="A14" s="68" t="s">
        <v>1639</v>
      </c>
      <c r="B14" s="62" t="str">
        <f>PIVOT_DASHBOARD!P27</f>
        <v>Analyst</v>
      </c>
    </row>
    <row r="15" spans="1:2" x14ac:dyDescent="0.25">
      <c r="A15" s="69"/>
      <c r="B15" s="63"/>
    </row>
    <row r="16" spans="1:2" x14ac:dyDescent="0.25">
      <c r="A16" s="70"/>
      <c r="B16" s="65"/>
    </row>
    <row r="17" spans="1:2" x14ac:dyDescent="0.25">
      <c r="A17" s="71" t="s">
        <v>1641</v>
      </c>
      <c r="B17" s="63" t="str">
        <f>PIVOT_DASHBOARD!Q27 &amp; " Year(s)"</f>
        <v>7 Year(s)</v>
      </c>
    </row>
    <row r="18" spans="1:2" x14ac:dyDescent="0.25">
      <c r="A18" s="71"/>
      <c r="B18" s="63"/>
    </row>
    <row r="19" spans="1:2" x14ac:dyDescent="0.25">
      <c r="A19" s="72"/>
      <c r="B19" s="65"/>
    </row>
    <row r="20" spans="1:2" x14ac:dyDescent="0.25">
      <c r="A20" s="68" t="s">
        <v>1642</v>
      </c>
      <c r="B20" s="77">
        <f>PIVOT_DASHBOARD!R27</f>
        <v>92000</v>
      </c>
    </row>
    <row r="21" spans="1:2" x14ac:dyDescent="0.25">
      <c r="A21" s="69"/>
      <c r="B21" s="78"/>
    </row>
    <row r="22" spans="1:2" x14ac:dyDescent="0.25">
      <c r="A22" s="70"/>
      <c r="B22" s="79"/>
    </row>
    <row r="23" spans="1:2" x14ac:dyDescent="0.25">
      <c r="A23" s="68" t="s">
        <v>1643</v>
      </c>
      <c r="B23" s="73">
        <f>PIVOT_DASHBOARD!U27</f>
        <v>0.97222222222222221</v>
      </c>
    </row>
    <row r="24" spans="1:2" x14ac:dyDescent="0.25">
      <c r="A24" s="69"/>
      <c r="B24" s="64"/>
    </row>
    <row r="25" spans="1:2" x14ac:dyDescent="0.25">
      <c r="A25" s="70"/>
      <c r="B25" s="74"/>
    </row>
    <row r="26" spans="1:2" x14ac:dyDescent="0.25">
      <c r="A26" s="68" t="s">
        <v>1644</v>
      </c>
      <c r="B26" s="62">
        <f>PIVOT_DASHBOARD!V27</f>
        <v>6</v>
      </c>
    </row>
    <row r="27" spans="1:2" x14ac:dyDescent="0.25">
      <c r="A27" s="69"/>
      <c r="B27" s="63"/>
    </row>
    <row r="28" spans="1:2" x14ac:dyDescent="0.25">
      <c r="A28" s="70"/>
      <c r="B28" s="65"/>
    </row>
    <row r="29" spans="1:2" x14ac:dyDescent="0.25">
      <c r="A29" s="68" t="s">
        <v>1645</v>
      </c>
      <c r="B29" s="62" t="str">
        <f>PIVOT_DASHBOARD!O27</f>
        <v>New York</v>
      </c>
    </row>
    <row r="30" spans="1:2" x14ac:dyDescent="0.25">
      <c r="A30" s="69"/>
      <c r="B30" s="63"/>
    </row>
    <row r="31" spans="1:2" x14ac:dyDescent="0.25">
      <c r="A31" s="70"/>
      <c r="B31" s="65"/>
    </row>
  </sheetData>
  <mergeCells count="17">
    <mergeCell ref="B26:B28"/>
    <mergeCell ref="B29:B31"/>
    <mergeCell ref="A23:A25"/>
    <mergeCell ref="A26:A28"/>
    <mergeCell ref="A29:A31"/>
    <mergeCell ref="B7:B9"/>
    <mergeCell ref="B10:B13"/>
    <mergeCell ref="B14:B16"/>
    <mergeCell ref="B17:B19"/>
    <mergeCell ref="B20:B22"/>
    <mergeCell ref="B23:B25"/>
    <mergeCell ref="A1:B6"/>
    <mergeCell ref="A7:A9"/>
    <mergeCell ref="A10:A13"/>
    <mergeCell ref="A14:A16"/>
    <mergeCell ref="A17:A19"/>
    <mergeCell ref="A20:A2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0F7353-EAC4-4FFF-845B-65F31FA0F9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Staff</vt:lpstr>
      <vt:lpstr>EMP_TABLE</vt:lpstr>
      <vt:lpstr>BASIC QUESTIONS</vt:lpstr>
      <vt:lpstr>REPORT</vt:lpstr>
      <vt:lpstr>LOOKUP_FUNC</vt:lpstr>
      <vt:lpstr>SALES_TABLE</vt:lpstr>
      <vt:lpstr>PIVOT_TABLES</vt:lpstr>
      <vt:lpstr>Dashbord_Table</vt:lpstr>
      <vt:lpstr>Dashboard_queries</vt:lpstr>
      <vt:lpstr>PIVOT_DASHBOARD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AGARWAL</dc:creator>
  <cp:lastModifiedBy>ASHISH AGARWAL</cp:lastModifiedBy>
  <dcterms:created xsi:type="dcterms:W3CDTF">2025-06-21T11:44:00Z</dcterms:created>
  <dcterms:modified xsi:type="dcterms:W3CDTF">2026-10-25T19:25:48Z</dcterms:modified>
</cp:coreProperties>
</file>